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角色属性" sheetId="2" state="visible" r:id="rId2"/>
    <sheet xmlns:r="http://schemas.openxmlformats.org/officeDocument/2006/relationships" name="行动计算" sheetId="3" state="visible" r:id="rId3"/>
    <sheet xmlns:r="http://schemas.openxmlformats.org/officeDocument/2006/relationships" name="单回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23A5C"/>
      <sz val="14"/>
    </font>
    <font>
      <b val="1"/>
      <color rgb="00123A5C"/>
      <sz val="12"/>
    </font>
    <font>
      <color rgb="000000FF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769AA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木桩与队伍参数（黄色为可输入）</t>
        </is>
      </c>
    </row>
    <row r="3">
      <c r="A3" s="2" t="inlineStr">
        <is>
          <t>木桩参数</t>
        </is>
      </c>
    </row>
    <row r="4">
      <c r="A4" s="3" t="inlineStr">
        <is>
          <t>现实防御</t>
        </is>
      </c>
      <c r="B4" s="4" t="n">
        <v>1300</v>
      </c>
    </row>
    <row r="5">
      <c r="A5" s="3" t="inlineStr">
        <is>
          <t>精神防御</t>
        </is>
      </c>
      <c r="B5" s="4" t="n">
        <v>1300</v>
      </c>
    </row>
    <row r="6">
      <c r="A6" s="3" t="inlineStr">
        <is>
          <t>抗爆率 %</t>
        </is>
      </c>
      <c r="B6" s="4" t="n">
        <v>0</v>
      </c>
    </row>
    <row r="7">
      <c r="A7" s="3" t="inlineStr">
        <is>
          <t>暴击防御 %</t>
        </is>
      </c>
      <c r="B7" s="4" t="n">
        <v>20</v>
      </c>
    </row>
    <row r="8">
      <c r="A8" s="3" t="inlineStr">
        <is>
          <t>受创减免 %</t>
        </is>
      </c>
      <c r="B8" s="4" t="n">
        <v>30</v>
      </c>
    </row>
    <row r="9">
      <c r="A9" s="3" t="inlineStr">
        <is>
          <t>克制系数 %</t>
        </is>
      </c>
      <c r="B9" s="4" t="n">
        <v>30</v>
      </c>
    </row>
    <row r="10">
      <c r="A10" s="3" t="inlineStr">
        <is>
          <t>木桩灵感</t>
        </is>
      </c>
      <c r="B10" s="4" t="inlineStr">
        <is>
          <t>智</t>
        </is>
      </c>
    </row>
    <row r="11">
      <c r="A11" s="2" t="inlineStr">
        <is>
          <t>队伍通用</t>
        </is>
      </c>
    </row>
    <row r="12">
      <c r="A12" s="3" t="inlineStr">
        <is>
          <t>最终增伤 %</t>
        </is>
      </c>
      <c r="B12" s="4" t="n">
        <v>0</v>
      </c>
    </row>
    <row r="13">
      <c r="A13" s="3" t="inlineStr">
        <is>
          <t>最终免伤 %</t>
        </is>
      </c>
      <c r="B13" s="4" t="n">
        <v>0</v>
      </c>
    </row>
    <row r="14">
      <c r="A14" s="3" t="inlineStr">
        <is>
          <t>灵犀层数</t>
        </is>
      </c>
      <c r="B14" s="4" t="n">
        <v>5</v>
      </c>
    </row>
    <row r="15">
      <c r="A15" s="3" t="inlineStr">
        <is>
          <t>灵犀每层克制 %</t>
        </is>
      </c>
      <c r="B15" s="4" t="n">
        <v>4</v>
      </c>
    </row>
    <row r="16">
      <c r="A16" s="2" t="inlineStr">
        <is>
          <t>队伍创伤加成buff</t>
        </is>
      </c>
    </row>
    <row r="17">
      <c r="A17" s="3" t="inlineStr">
        <is>
          <t>创伤加成提高（J大招）%</t>
        </is>
      </c>
      <c r="B17" s="4" t="n">
        <v>87.5</v>
      </c>
    </row>
    <row r="18">
      <c r="A18" s="3" t="inlineStr">
        <is>
          <t>加护创伤加成 %</t>
        </is>
      </c>
      <c r="B18" s="4" t="n">
        <v>30</v>
      </c>
    </row>
    <row r="19">
      <c r="A19" s="3" t="inlineStr">
        <is>
          <t>昨日雨声轻创伤加成 %</t>
        </is>
      </c>
      <c r="B19" s="4" t="n">
        <v>14.4</v>
      </c>
    </row>
    <row r="20">
      <c r="A20" s="3" t="inlineStr">
        <is>
          <t>反击创伤加成 %</t>
        </is>
      </c>
      <c r="B20" s="4" t="n">
        <v>0</v>
      </c>
    </row>
    <row r="21">
      <c r="A21" s="2" t="inlineStr">
        <is>
          <t>队伍威力/暴创buff</t>
        </is>
      </c>
    </row>
    <row r="22">
      <c r="A22" s="3" t="inlineStr">
        <is>
          <t>群鸟之歌术法威力 %</t>
        </is>
      </c>
      <c r="B22" s="4" t="n">
        <v>30</v>
      </c>
    </row>
    <row r="23">
      <c r="A23" s="3" t="inlineStr">
        <is>
          <t>群鸟之歌仪式威力 %</t>
        </is>
      </c>
      <c r="B23" s="4" t="n">
        <v>30</v>
      </c>
    </row>
    <row r="24">
      <c r="A24" s="3" t="inlineStr">
        <is>
          <t>昨日雨声轻暴击创伤 %</t>
        </is>
      </c>
      <c r="B24" s="4" t="n">
        <v>16</v>
      </c>
    </row>
    <row r="25">
      <c r="A25" s="3" t="inlineStr">
        <is>
          <t>家庭指导员暴击创伤 %</t>
        </is>
      </c>
      <c r="B25" s="4" t="n">
        <v>30</v>
      </c>
    </row>
    <row r="26">
      <c r="A26" s="3" t="inlineStr">
        <is>
          <t>受创减免提高 %（防御用，不参与我方输出）</t>
        </is>
      </c>
      <c r="B26" s="4" t="n">
        <v>0</v>
      </c>
    </row>
    <row r="28">
      <c r="A28" s="2" t="inlineStr">
        <is>
          <t>角色状态（参考输入，用于填写倍率/战备/灵犀等）</t>
        </is>
      </c>
    </row>
    <row r="29">
      <c r="A29" s="3" t="inlineStr">
        <is>
          <t>虚构集 独白层数</t>
        </is>
      </c>
      <c r="B29" s="10" t="n">
        <v>5</v>
      </c>
    </row>
    <row r="30">
      <c r="A30" s="3" t="inlineStr">
        <is>
          <t>虚构集 群像层数</t>
        </is>
      </c>
      <c r="B30" s="10" t="n">
        <v>25</v>
      </c>
    </row>
    <row r="31">
      <c r="A31" s="3" t="inlineStr">
        <is>
          <t>虚构集 筹备层数</t>
        </is>
      </c>
      <c r="B31" s="10" t="n">
        <v>0</v>
      </c>
    </row>
    <row r="32">
      <c r="A32" s="3" t="inlineStr">
        <is>
          <t>莫莉德尔 战备层数</t>
        </is>
      </c>
      <c r="B32" s="10" t="n">
        <v>50</v>
      </c>
    </row>
    <row r="33">
      <c r="A33" s="3" t="inlineStr">
        <is>
          <t>莫莉德尔 战备部署层数</t>
        </is>
      </c>
      <c r="B33" s="10" t="n">
        <v>1</v>
      </c>
    </row>
    <row r="34">
      <c r="A34" s="3" t="inlineStr">
        <is>
          <t>小瑞安侬 默契同调层数</t>
        </is>
      </c>
      <c r="B34" s="10" t="n">
        <v>0</v>
      </c>
    </row>
    <row r="35">
      <c r="A35" s="3" t="inlineStr">
        <is>
          <t>小瑞安侬 加护层数</t>
        </is>
      </c>
      <c r="B35" s="10" t="n">
        <v>1</v>
      </c>
    </row>
    <row r="36">
      <c r="A36" s="3" t="inlineStr">
        <is>
          <t>J 燃烧层数</t>
        </is>
      </c>
      <c r="B36" s="10" t="n">
        <v>0</v>
      </c>
    </row>
    <row r="37">
      <c r="A37" s="3" t="inlineStr">
        <is>
          <t>J 热处理护盾层数</t>
        </is>
      </c>
      <c r="B37" s="10" t="n">
        <v>0</v>
      </c>
    </row>
    <row r="38">
      <c r="A38" s="3" t="inlineStr">
        <is>
          <t>小瑞安侬 尘酿鹰层数</t>
        </is>
      </c>
      <c r="B38" s="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角色</t>
        </is>
      </c>
      <c r="B1" s="5" t="inlineStr">
        <is>
          <t>进战攻击</t>
        </is>
      </c>
      <c r="C1" s="5" t="inlineStr">
        <is>
          <t>暴击率%</t>
        </is>
      </c>
      <c r="D1" s="5" t="inlineStr">
        <is>
          <t>暴击创伤%</t>
        </is>
      </c>
      <c r="E1" s="5" t="inlineStr">
        <is>
          <t>术法威力%</t>
        </is>
      </c>
      <c r="F1" s="5" t="inlineStr">
        <is>
          <t>仪式威力%</t>
        </is>
      </c>
      <c r="G1" s="5" t="inlineStr">
        <is>
          <t>基础创伤加成%</t>
        </is>
      </c>
      <c r="H1" s="5" t="inlineStr">
        <is>
          <t>穿透%</t>
        </is>
      </c>
      <c r="I1" s="5" t="inlineStr">
        <is>
          <t>伤害类型</t>
        </is>
      </c>
    </row>
    <row r="2">
      <c r="A2" s="4" t="inlineStr">
        <is>
          <t>虚构集</t>
        </is>
      </c>
      <c r="B2" s="4" t="n">
        <v>2229</v>
      </c>
      <c r="C2" s="4" t="n">
        <v>54.2</v>
      </c>
      <c r="D2" s="4" t="n">
        <v>166.8</v>
      </c>
      <c r="E2" s="4" t="n">
        <v>0</v>
      </c>
      <c r="F2" s="4" t="n">
        <v>30</v>
      </c>
      <c r="G2" s="4" t="n">
        <v>6.5</v>
      </c>
      <c r="H2" s="4" t="n">
        <v>0</v>
      </c>
      <c r="I2" s="4" t="inlineStr">
        <is>
          <t>现实</t>
        </is>
      </c>
    </row>
    <row r="3">
      <c r="A3" s="4" t="inlineStr">
        <is>
          <t>莫莉德尔</t>
        </is>
      </c>
      <c r="B3" s="4" t="n">
        <v>1651</v>
      </c>
      <c r="C3" s="4" t="n">
        <v>41.5</v>
      </c>
      <c r="D3" s="4" t="n">
        <v>164</v>
      </c>
      <c r="E3" s="4" t="n">
        <v>0</v>
      </c>
      <c r="F3" s="4" t="n">
        <v>0</v>
      </c>
      <c r="G3" s="4" t="n">
        <v>20.5</v>
      </c>
      <c r="H3" s="4" t="n">
        <v>0</v>
      </c>
      <c r="I3" s="4" t="inlineStr">
        <is>
          <t>现实</t>
        </is>
      </c>
    </row>
    <row r="4">
      <c r="A4" s="4" t="inlineStr">
        <is>
          <t>小瑞安侬</t>
        </is>
      </c>
      <c r="B4" s="4" t="n">
        <v>2267</v>
      </c>
      <c r="C4" s="4" t="n">
        <v>33.5</v>
      </c>
      <c r="D4" s="4" t="n">
        <v>161</v>
      </c>
      <c r="E4" s="4" t="n">
        <v>0</v>
      </c>
      <c r="F4" s="4" t="n">
        <v>0</v>
      </c>
      <c r="G4" s="4" t="n">
        <v>0</v>
      </c>
      <c r="H4" s="4" t="n">
        <v>0</v>
      </c>
      <c r="I4" s="4" t="inlineStr">
        <is>
          <t>精神</t>
        </is>
      </c>
    </row>
    <row r="5">
      <c r="A5" s="4" t="inlineStr">
        <is>
          <t>J</t>
        </is>
      </c>
      <c r="B5" s="4" t="n">
        <v>1803</v>
      </c>
      <c r="C5" s="4" t="n">
        <v>65.7</v>
      </c>
      <c r="D5" s="4" t="n">
        <v>171.8</v>
      </c>
      <c r="E5" s="4" t="n">
        <v>0</v>
      </c>
      <c r="F5" s="4" t="n">
        <v>0</v>
      </c>
      <c r="G5" s="4" t="n">
        <v>17.5</v>
      </c>
      <c r="H5" s="4" t="n">
        <v>0</v>
      </c>
      <c r="I5" s="4" t="inlineStr">
        <is>
          <t>现实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9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  <col width="11" customWidth="1" min="19" max="19"/>
    <col width="12" customWidth="1" min="20" max="20"/>
    <col width="11" customWidth="1" min="21" max="21"/>
    <col width="9" customWidth="1" min="22" max="22"/>
    <col width="9" customWidth="1" min="23" max="23"/>
    <col width="9" customWidth="1" min="24" max="24"/>
    <col width="10" customWidth="1" min="25" max="25"/>
    <col width="9" customWidth="1" min="26" max="26"/>
    <col width="12" customWidth="1" min="27" max="27"/>
    <col width="10" customWidth="1" min="28" max="28"/>
    <col width="10" customWidth="1" min="29" max="29"/>
    <col width="9" customWidth="1" min="30" max="30"/>
    <col width="11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12" customWidth="1" min="42" max="42"/>
  </cols>
  <sheetData>
    <row r="1">
      <c r="A1" s="5" t="inlineStr">
        <is>
          <t>角色</t>
        </is>
      </c>
      <c r="B1" s="5" t="inlineStr">
        <is>
          <t>行动</t>
        </is>
      </c>
      <c r="C1" s="5" t="inlineStr">
        <is>
          <t>生效(1/0)</t>
        </is>
      </c>
      <c r="D1" s="5" t="inlineStr">
        <is>
          <t>倍率%</t>
        </is>
      </c>
      <c r="E1" s="5" t="inlineStr">
        <is>
          <t>防御类型(现实=1/精神=0)</t>
        </is>
      </c>
      <c r="F1" s="5" t="inlineStr">
        <is>
          <t>进战攻击</t>
        </is>
      </c>
      <c r="G1" s="5" t="inlineStr">
        <is>
          <t>攻击提升%</t>
        </is>
      </c>
      <c r="H1" s="5" t="inlineStr">
        <is>
          <t>攻击降低%</t>
        </is>
      </c>
      <c r="I1" s="5" t="inlineStr">
        <is>
          <t>进战防御</t>
        </is>
      </c>
      <c r="J1" s="5" t="inlineStr">
        <is>
          <t>防御提升%</t>
        </is>
      </c>
      <c r="K1" s="5" t="inlineStr">
        <is>
          <t>防御降低%</t>
        </is>
      </c>
      <c r="L1" s="5" t="inlineStr">
        <is>
          <t>穿透%</t>
        </is>
      </c>
      <c r="M1" s="5" t="inlineStr">
        <is>
          <t>基础创伤加成%</t>
        </is>
      </c>
      <c r="N1" s="5" t="inlineStr">
        <is>
          <t>J大招创伤%</t>
        </is>
      </c>
      <c r="O1" s="5" t="inlineStr">
        <is>
          <t>加护创伤%</t>
        </is>
      </c>
      <c r="P1" s="5" t="inlineStr">
        <is>
          <t>昨日创伤%</t>
        </is>
      </c>
      <c r="Q1" s="5" t="inlineStr">
        <is>
          <t>战备层数</t>
        </is>
      </c>
      <c r="R1" s="5" t="inlineStr">
        <is>
          <t>战备每层%</t>
        </is>
      </c>
      <c r="S1" s="5" t="inlineStr">
        <is>
          <t>反击创伤%</t>
        </is>
      </c>
      <c r="T1" s="5" t="inlineStr">
        <is>
          <t>我方创伤合计%</t>
        </is>
      </c>
      <c r="U1" s="5" t="inlineStr">
        <is>
          <t>敌方受创减免%</t>
        </is>
      </c>
      <c r="V1" s="5" t="inlineStr">
        <is>
          <t>是否暴击(1/0)</t>
        </is>
      </c>
      <c r="W1" s="5" t="inlineStr">
        <is>
          <t>暴击率%</t>
        </is>
      </c>
      <c r="X1" s="5" t="inlineStr">
        <is>
          <t>敌方抗爆%</t>
        </is>
      </c>
      <c r="Y1" s="5" t="inlineStr">
        <is>
          <t>暴击创伤%</t>
        </is>
      </c>
      <c r="Z1" s="5" t="inlineStr">
        <is>
          <t>敌方暴防%</t>
        </is>
      </c>
      <c r="AA1" s="5" t="inlineStr">
        <is>
          <t>威力类型(术法=1/仪式=2)</t>
        </is>
      </c>
      <c r="AB1" s="5" t="inlineStr">
        <is>
          <t>术法威力%</t>
        </is>
      </c>
      <c r="AC1" s="5" t="inlineStr">
        <is>
          <t>仪式威力%</t>
        </is>
      </c>
      <c r="AD1" s="5" t="inlineStr">
        <is>
          <t>是否克制(1/0)</t>
        </is>
      </c>
      <c r="AE1" s="5" t="inlineStr">
        <is>
          <t>基础克制系数%</t>
        </is>
      </c>
      <c r="AF1" s="5" t="inlineStr">
        <is>
          <t>灵犀层数</t>
        </is>
      </c>
      <c r="AG1" s="5" t="inlineStr">
        <is>
          <t>其他克制%</t>
        </is>
      </c>
      <c r="AH1" s="5" t="inlineStr">
        <is>
          <t>最终增伤%</t>
        </is>
      </c>
      <c r="AI1" s="5" t="inlineStr">
        <is>
          <t>最终免伤%</t>
        </is>
      </c>
      <c r="AJ1" s="5" t="inlineStr">
        <is>
          <t>攻防项</t>
        </is>
      </c>
      <c r="AK1" s="5" t="inlineStr">
        <is>
          <t>创伤项</t>
        </is>
      </c>
      <c r="AL1" s="5" t="inlineStr">
        <is>
          <t>暴创项</t>
        </is>
      </c>
      <c r="AM1" s="5" t="inlineStr">
        <is>
          <t>威力项</t>
        </is>
      </c>
      <c r="AN1" s="5" t="inlineStr">
        <is>
          <t>克制项</t>
        </is>
      </c>
      <c r="AO1" s="5" t="inlineStr">
        <is>
          <t>最终项</t>
        </is>
      </c>
      <c r="AP1" s="5" t="inlineStr">
        <is>
          <t>伤害</t>
        </is>
      </c>
    </row>
    <row r="2">
      <c r="A2" s="3" t="inlineStr">
        <is>
          <t>虚构集</t>
        </is>
      </c>
      <c r="B2" s="3" t="inlineStr">
        <is>
          <t>字的隐喻 1阶</t>
        </is>
      </c>
      <c r="C2" s="4" t="n">
        <v>0</v>
      </c>
      <c r="D2" s="4" t="n">
        <v>100</v>
      </c>
      <c r="E2" s="4" t="n">
        <v>1</v>
      </c>
      <c r="F2" s="6">
        <f>VLOOKUP($A2,'角色属性'!$A$2:$I$5,2,0)</f>
        <v/>
      </c>
      <c r="G2" s="4" t="n">
        <v>0</v>
      </c>
      <c r="H2" s="4" t="n">
        <v>0</v>
      </c>
      <c r="I2" s="6">
        <f>IF($E2=1,'参数'!$B$4,'参数'!$B$5)</f>
        <v/>
      </c>
      <c r="J2" s="4" t="n">
        <v>0</v>
      </c>
      <c r="K2" s="4" t="n">
        <v>0</v>
      </c>
      <c r="L2" s="6">
        <f>VLOOKUP($A2,'角色属性'!$A$2:$I$5,8,0)</f>
        <v/>
      </c>
      <c r="M2" s="6">
        <f>VLOOKUP($A2,'角色属性'!$A$2:$I$5,7,0)</f>
        <v/>
      </c>
      <c r="N2" s="6">
        <f>'参数'!$B$17</f>
        <v/>
      </c>
      <c r="O2" s="6">
        <f>'参数'!$B$18</f>
        <v/>
      </c>
      <c r="P2" s="6">
        <f>'参数'!$B$19</f>
        <v/>
      </c>
      <c r="Q2" s="4" t="n">
        <v>0</v>
      </c>
      <c r="R2" s="4" t="n">
        <v>2</v>
      </c>
      <c r="S2" s="6">
        <f>IF(OR(ISNUMBER(SEARCH("反击",$B2)),$B2="高温回火"),'参数'!$B$20,0)</f>
        <v/>
      </c>
      <c r="T2" s="6">
        <f>M2+N2+O2+P2+Q2*R2+S2</f>
        <v/>
      </c>
      <c r="U2" s="6">
        <f>'参数'!$B$8</f>
        <v/>
      </c>
      <c r="V2" s="4" t="n">
        <v>0</v>
      </c>
      <c r="W2" s="6">
        <f>VLOOKUP($A2,'角色属性'!$A$2:$I$5,3,0)</f>
        <v/>
      </c>
      <c r="X2" s="6">
        <f>'参数'!$B$6</f>
        <v/>
      </c>
      <c r="Y2" s="6">
        <f>VLOOKUP($A2,'角色属性'!$A$2:$I$5,4,0)+'参数'!$B$24+'参数'!$B$25</f>
        <v/>
      </c>
      <c r="Z2" s="6">
        <f>'参数'!$B$7</f>
        <v/>
      </c>
      <c r="AA2" s="4" t="n">
        <v>1</v>
      </c>
      <c r="AB2" s="6">
        <f>VLOOKUP($A2,'角色属性'!$A$2:$I$5,5,0)+'参数'!$B$22</f>
        <v/>
      </c>
      <c r="AC2" s="6">
        <f>VLOOKUP($A2,'角色属性'!$A$2:$I$5,6,0)+'参数'!$B$23</f>
        <v/>
      </c>
      <c r="AD2" s="4" t="n">
        <v>0</v>
      </c>
      <c r="AE2" s="6">
        <f>'参数'!$B$9</f>
        <v/>
      </c>
      <c r="AF2" s="6">
        <f>'参数'!$B$14</f>
        <v/>
      </c>
      <c r="AG2" s="4" t="n">
        <v>0</v>
      </c>
      <c r="AH2" s="6">
        <f>'参数'!$B$12</f>
        <v/>
      </c>
      <c r="AI2" s="6">
        <f>'参数'!$B$13</f>
        <v/>
      </c>
      <c r="AJ2" s="6">
        <f>MAX(F2*(1+(G2-H2)/100)-I2*(1+(J2-K2)/100)*(1-L2/100),F2*0.1)</f>
        <v/>
      </c>
      <c r="AK2" s="6">
        <f>MAX(1+(T2-U2)/100,0.3)</f>
        <v/>
      </c>
      <c r="AL2" s="6">
        <f>IF(V2=1,MAX(1,(Y2-Z2)/100),1)</f>
        <v/>
      </c>
      <c r="AM2" s="6">
        <f>MAX(1,1+IF(AA2=1,AB2,AC2)/100)</f>
        <v/>
      </c>
      <c r="AN2" s="6">
        <f>1+IF(AD2=1,AE2,0)/100+AF2*'参数'!$B$15/100+AG2/100</f>
        <v/>
      </c>
      <c r="AO2" s="6">
        <f>1+(AH2-AI2)/100</f>
        <v/>
      </c>
      <c r="AP2" s="6">
        <f>IF(C2=0,0,FLOOR(D2/100*AJ2*AK2*AL2*AM2*AN2*AO2,1))</f>
        <v/>
      </c>
    </row>
    <row r="3">
      <c r="A3" s="3" t="inlineStr">
        <is>
          <t>虚构集</t>
        </is>
      </c>
      <c r="B3" s="3" t="inlineStr">
        <is>
          <t>词的意象 1阶</t>
        </is>
      </c>
      <c r="C3" s="4" t="n">
        <v>0</v>
      </c>
      <c r="D3" s="4" t="n">
        <v>120</v>
      </c>
      <c r="E3" s="4" t="n">
        <v>1</v>
      </c>
      <c r="F3" s="6">
        <f>VLOOKUP($A3,'角色属性'!$A$2:$I$5,2,0)</f>
        <v/>
      </c>
      <c r="G3" s="4" t="n">
        <v>0</v>
      </c>
      <c r="H3" s="4" t="n">
        <v>0</v>
      </c>
      <c r="I3" s="6">
        <f>IF($E3=1,'参数'!$B$4,'参数'!$B$5)</f>
        <v/>
      </c>
      <c r="J3" s="4" t="n">
        <v>0</v>
      </c>
      <c r="K3" s="4" t="n">
        <v>0</v>
      </c>
      <c r="L3" s="6">
        <f>VLOOKUP($A3,'角色属性'!$A$2:$I$5,8,0)</f>
        <v/>
      </c>
      <c r="M3" s="6">
        <f>VLOOKUP($A3,'角色属性'!$A$2:$I$5,7,0)</f>
        <v/>
      </c>
      <c r="N3" s="6">
        <f>'参数'!$B$17</f>
        <v/>
      </c>
      <c r="O3" s="6">
        <f>'参数'!$B$18</f>
        <v/>
      </c>
      <c r="P3" s="6">
        <f>'参数'!$B$19</f>
        <v/>
      </c>
      <c r="Q3" s="4" t="n">
        <v>0</v>
      </c>
      <c r="R3" s="4" t="n">
        <v>2</v>
      </c>
      <c r="S3" s="6">
        <f>IF(OR(ISNUMBER(SEARCH("反击",$B3)),$B3="高温回火"),'参数'!$B$20,0)</f>
        <v/>
      </c>
      <c r="T3" s="6">
        <f>M3+N3+O3+P3+Q3*R3+S3</f>
        <v/>
      </c>
      <c r="U3" s="6">
        <f>'参数'!$B$8</f>
        <v/>
      </c>
      <c r="V3" s="4" t="n">
        <v>0</v>
      </c>
      <c r="W3" s="6">
        <f>VLOOKUP($A3,'角色属性'!$A$2:$I$5,3,0)</f>
        <v/>
      </c>
      <c r="X3" s="6">
        <f>'参数'!$B$6</f>
        <v/>
      </c>
      <c r="Y3" s="6">
        <f>VLOOKUP($A3,'角色属性'!$A$2:$I$5,4,0)+'参数'!$B$24+'参数'!$B$25</f>
        <v/>
      </c>
      <c r="Z3" s="6">
        <f>'参数'!$B$7</f>
        <v/>
      </c>
      <c r="AA3" s="4" t="n">
        <v>1</v>
      </c>
      <c r="AB3" s="6">
        <f>VLOOKUP($A3,'角色属性'!$A$2:$I$5,5,0)+'参数'!$B$22</f>
        <v/>
      </c>
      <c r="AC3" s="6">
        <f>VLOOKUP($A3,'角色属性'!$A$2:$I$5,6,0)+'参数'!$B$23</f>
        <v/>
      </c>
      <c r="AD3" s="4" t="n">
        <v>0</v>
      </c>
      <c r="AE3" s="6">
        <f>'参数'!$B$9</f>
        <v/>
      </c>
      <c r="AF3" s="6">
        <f>'参数'!$B$14</f>
        <v/>
      </c>
      <c r="AG3" s="4" t="n">
        <v>0</v>
      </c>
      <c r="AH3" s="6">
        <f>'参数'!$B$12</f>
        <v/>
      </c>
      <c r="AI3" s="6">
        <f>'参数'!$B$13</f>
        <v/>
      </c>
      <c r="AJ3" s="6">
        <f>MAX(F3*(1+(G3-H3)/100)-I3*(1+(J3-K3)/100)*(1-L3/100),F3*0.1)</f>
        <v/>
      </c>
      <c r="AK3" s="6">
        <f>MAX(1+(T3-U3)/100,0.3)</f>
        <v/>
      </c>
      <c r="AL3" s="6">
        <f>IF(V3=1,MAX(1,(Y3-Z3)/100),1)</f>
        <v/>
      </c>
      <c r="AM3" s="6">
        <f>MAX(1,1+IF(AA3=1,AB3,AC3)/100)</f>
        <v/>
      </c>
      <c r="AN3" s="6">
        <f>1+IF(AD3=1,AE3,0)/100+AF3*'参数'!$B$15/100+AG3/100</f>
        <v/>
      </c>
      <c r="AO3" s="6">
        <f>1+(AH3-AI3)/100</f>
        <v/>
      </c>
      <c r="AP3" s="6">
        <f>IF(C3=0,0,FLOOR(D3/100*AJ3*AK3*AL3*AM3*AN3*AO3,1))</f>
        <v/>
      </c>
    </row>
    <row r="4">
      <c r="A4" s="3" t="inlineStr">
        <is>
          <t>虚构集</t>
        </is>
      </c>
      <c r="B4" s="3" t="inlineStr">
        <is>
          <t>下现实主义迷宫(全体)</t>
        </is>
      </c>
      <c r="C4" s="4" t="n">
        <v>1</v>
      </c>
      <c r="D4" s="4" t="n">
        <v>2150</v>
      </c>
      <c r="E4" s="4" t="n">
        <v>1</v>
      </c>
      <c r="F4" s="6">
        <f>VLOOKUP($A4,'角色属性'!$A$2:$I$5,2,0)</f>
        <v/>
      </c>
      <c r="G4" s="4" t="n">
        <v>0</v>
      </c>
      <c r="H4" s="4" t="n">
        <v>0</v>
      </c>
      <c r="I4" s="6">
        <f>IF($E4=1,'参数'!$B$4,'参数'!$B$5)</f>
        <v/>
      </c>
      <c r="J4" s="4" t="n">
        <v>0</v>
      </c>
      <c r="K4" s="4" t="n">
        <v>0</v>
      </c>
      <c r="L4" s="6">
        <f>VLOOKUP($A4,'角色属性'!$A$2:$I$5,8,0)</f>
        <v/>
      </c>
      <c r="M4" s="6">
        <f>VLOOKUP($A4,'角色属性'!$A$2:$I$5,7,0)</f>
        <v/>
      </c>
      <c r="N4" s="6">
        <f>'参数'!$B$17</f>
        <v/>
      </c>
      <c r="O4" s="6">
        <f>'参数'!$B$18</f>
        <v/>
      </c>
      <c r="P4" s="6">
        <f>'参数'!$B$19</f>
        <v/>
      </c>
      <c r="Q4" s="4">
        <f>IF($AA4=2,'参数'!$B$32,0)</f>
        <v/>
      </c>
      <c r="R4" s="4" t="n">
        <v>2</v>
      </c>
      <c r="S4" s="6">
        <f>IF(OR(ISNUMBER(SEARCH("反击",$B4)),$B4="高温回火"),'参数'!$B$20,0)</f>
        <v/>
      </c>
      <c r="T4" s="6">
        <f>M4+N4+O4+P4+Q4*R4+S4</f>
        <v/>
      </c>
      <c r="U4" s="6">
        <f>'参数'!$B$8</f>
        <v/>
      </c>
      <c r="V4" s="4" t="n">
        <v>0</v>
      </c>
      <c r="W4" s="6">
        <f>VLOOKUP($A4,'角色属性'!$A$2:$I$5,3,0)</f>
        <v/>
      </c>
      <c r="X4" s="6">
        <f>'参数'!$B$6</f>
        <v/>
      </c>
      <c r="Y4" s="10" t="n">
        <v>232.8</v>
      </c>
      <c r="Z4" s="6">
        <f>'参数'!$B$7</f>
        <v/>
      </c>
      <c r="AA4" s="4" t="n">
        <v>2</v>
      </c>
      <c r="AB4" s="6">
        <f>VLOOKUP($A4,'角色属性'!$A$2:$I$5,5,0)+'参数'!$B$22</f>
        <v/>
      </c>
      <c r="AC4" s="10" t="n">
        <v>168</v>
      </c>
      <c r="AD4" s="4" t="n">
        <v>0</v>
      </c>
      <c r="AE4" s="6">
        <f>'参数'!$B$9</f>
        <v/>
      </c>
      <c r="AF4" s="6">
        <f>'参数'!$B$14</f>
        <v/>
      </c>
      <c r="AG4" s="4" t="n">
        <v>0</v>
      </c>
      <c r="AH4" s="6">
        <f>'参数'!$B$12</f>
        <v/>
      </c>
      <c r="AI4" s="6">
        <f>'参数'!$B$13</f>
        <v/>
      </c>
      <c r="AJ4" s="6">
        <f>MAX(F4*(1+(G4-H4)/100)-I4*(1+(J4-K4)/100)*(1-L4/100),F4*0.1)</f>
        <v/>
      </c>
      <c r="AK4" s="6">
        <f>MAX(1+(T4-U4)/100,0.3)</f>
        <v/>
      </c>
      <c r="AL4" s="6">
        <f>IF(V4=1,MAX(1,(Y4-Z4)/100),1)</f>
        <v/>
      </c>
      <c r="AM4" s="6">
        <f>MAX(1,1+IF(AA4=1,AB4,AC4)/100)</f>
        <v/>
      </c>
      <c r="AN4" s="6">
        <f>1+IF(AD4=1,AE4,0)/100+AF4*'参数'!$B$15/100+AG4/100</f>
        <v/>
      </c>
      <c r="AO4" s="6">
        <f>1+(AH4-AI4)/100</f>
        <v/>
      </c>
      <c r="AP4" s="6">
        <f>IF(C4=0,0,FLOOR(D4/100*AJ4*AK4*AL4*AM4*AN4*AO4,1))</f>
        <v/>
      </c>
    </row>
    <row r="5">
      <c r="A5" s="3" t="inlineStr">
        <is>
          <t>虚构集</t>
        </is>
      </c>
      <c r="B5" s="3" t="inlineStr">
        <is>
          <t>下现实主义迷宫(主目标额外)</t>
        </is>
      </c>
      <c r="C5" s="4" t="n">
        <v>1</v>
      </c>
      <c r="D5" s="4" t="n">
        <v>2650</v>
      </c>
      <c r="E5" s="4" t="n">
        <v>1</v>
      </c>
      <c r="F5" s="6">
        <f>VLOOKUP($A5,'角色属性'!$A$2:$I$5,2,0)</f>
        <v/>
      </c>
      <c r="G5" s="4" t="n">
        <v>0</v>
      </c>
      <c r="H5" s="4" t="n">
        <v>0</v>
      </c>
      <c r="I5" s="6">
        <f>IF($E5=1,'参数'!$B$4,'参数'!$B$5)</f>
        <v/>
      </c>
      <c r="J5" s="4" t="n">
        <v>0</v>
      </c>
      <c r="K5" s="4" t="n">
        <v>0</v>
      </c>
      <c r="L5" s="6">
        <f>VLOOKUP($A5,'角色属性'!$A$2:$I$5,8,0)</f>
        <v/>
      </c>
      <c r="M5" s="6">
        <f>VLOOKUP($A5,'角色属性'!$A$2:$I$5,7,0)</f>
        <v/>
      </c>
      <c r="N5" s="6">
        <f>'参数'!$B$17</f>
        <v/>
      </c>
      <c r="O5" s="6">
        <f>'参数'!$B$18</f>
        <v/>
      </c>
      <c r="P5" s="6">
        <f>'参数'!$B$19</f>
        <v/>
      </c>
      <c r="Q5" s="4">
        <f>IF($AA5=2,'参数'!$B$32,0)</f>
        <v/>
      </c>
      <c r="R5" s="4" t="n">
        <v>2</v>
      </c>
      <c r="S5" s="6">
        <f>IF(OR(ISNUMBER(SEARCH("反击",$B5)),$B5="高温回火"),'参数'!$B$20,0)</f>
        <v/>
      </c>
      <c r="T5" s="6">
        <f>M5+N5+O5+P5+Q5*R5+S5</f>
        <v/>
      </c>
      <c r="U5" s="6">
        <f>'参数'!$B$8</f>
        <v/>
      </c>
      <c r="V5" s="4" t="n">
        <v>0</v>
      </c>
      <c r="W5" s="6">
        <f>VLOOKUP($A5,'角色属性'!$A$2:$I$5,3,0)</f>
        <v/>
      </c>
      <c r="X5" s="6">
        <f>'参数'!$B$6</f>
        <v/>
      </c>
      <c r="Y5" s="10" t="n">
        <v>232.8</v>
      </c>
      <c r="Z5" s="6">
        <f>'参数'!$B$7</f>
        <v/>
      </c>
      <c r="AA5" s="4" t="n">
        <v>2</v>
      </c>
      <c r="AB5" s="6">
        <f>VLOOKUP($A5,'角色属性'!$A$2:$I$5,5,0)+'参数'!$B$22</f>
        <v/>
      </c>
      <c r="AC5" s="10" t="n">
        <v>168</v>
      </c>
      <c r="AD5" s="4" t="n">
        <v>0</v>
      </c>
      <c r="AE5" s="6">
        <f>'参数'!$B$9</f>
        <v/>
      </c>
      <c r="AF5" s="6">
        <f>'参数'!$B$14</f>
        <v/>
      </c>
      <c r="AG5" s="4" t="n">
        <v>0</v>
      </c>
      <c r="AH5" s="6">
        <f>'参数'!$B$12</f>
        <v/>
      </c>
      <c r="AI5" s="6">
        <f>'参数'!$B$13</f>
        <v/>
      </c>
      <c r="AJ5" s="6">
        <f>MAX(F5*(1+(G5-H5)/100)-I5*(1+(J5-K5)/100)*(1-L5/100),F5*0.1)</f>
        <v/>
      </c>
      <c r="AK5" s="6">
        <f>MAX(1+(T5-U5)/100,0.3)</f>
        <v/>
      </c>
      <c r="AL5" s="6">
        <f>IF(V5=1,MAX(1,(Y5-Z5)/100),1)</f>
        <v/>
      </c>
      <c r="AM5" s="6">
        <f>MAX(1,1+IF(AA5=1,AB5,AC5)/100)</f>
        <v/>
      </c>
      <c r="AN5" s="6">
        <f>1+IF(AD5=1,AE5,0)/100+AF5*'参数'!$B$15/100+AG5/100</f>
        <v/>
      </c>
      <c r="AO5" s="6">
        <f>1+(AH5-AI5)/100</f>
        <v/>
      </c>
      <c r="AP5" s="6">
        <f>IF(C5=0,0,FLOOR(D5/100*AJ5*AK5*AL5*AM5*AN5*AO5,1))</f>
        <v/>
      </c>
    </row>
    <row r="6">
      <c r="A6" s="3" t="inlineStr">
        <is>
          <t>虚构集</t>
        </is>
      </c>
      <c r="B6" s="3" t="inlineStr">
        <is>
          <t>虚构故事集(目标仪式)</t>
        </is>
      </c>
      <c r="C6" s="4" t="n">
        <v>0</v>
      </c>
      <c r="D6" s="4" t="n">
        <v>400</v>
      </c>
      <c r="E6" s="4" t="n">
        <v>1</v>
      </c>
      <c r="F6" s="6">
        <f>VLOOKUP($A6,'角色属性'!$A$2:$I$5,2,0)</f>
        <v/>
      </c>
      <c r="G6" s="4" t="n">
        <v>0</v>
      </c>
      <c r="H6" s="4" t="n">
        <v>0</v>
      </c>
      <c r="I6" s="6">
        <f>IF($E6=1,'参数'!$B$4,'参数'!$B$5)</f>
        <v/>
      </c>
      <c r="J6" s="4" t="n">
        <v>0</v>
      </c>
      <c r="K6" s="4" t="n">
        <v>0</v>
      </c>
      <c r="L6" s="6">
        <f>VLOOKUP($A6,'角色属性'!$A$2:$I$5,8,0)</f>
        <v/>
      </c>
      <c r="M6" s="6">
        <f>VLOOKUP($A6,'角色属性'!$A$2:$I$5,7,0)</f>
        <v/>
      </c>
      <c r="N6" s="6">
        <f>'参数'!$B$17</f>
        <v/>
      </c>
      <c r="O6" s="6">
        <f>'参数'!$B$18</f>
        <v/>
      </c>
      <c r="P6" s="6">
        <f>'参数'!$B$19</f>
        <v/>
      </c>
      <c r="Q6" s="4">
        <f>IF($AA6=2,'参数'!$B$32,0)</f>
        <v/>
      </c>
      <c r="R6" s="4" t="n">
        <v>2</v>
      </c>
      <c r="S6" s="6">
        <f>IF(OR(ISNUMBER(SEARCH("反击",$B6)),$B6="高温回火"),'参数'!$B$20,0)</f>
        <v/>
      </c>
      <c r="T6" s="6">
        <f>M6+N6+O6+P6+Q6*R6+S6</f>
        <v/>
      </c>
      <c r="U6" s="6">
        <f>'参数'!$B$8</f>
        <v/>
      </c>
      <c r="V6" s="4" t="n">
        <v>0</v>
      </c>
      <c r="W6" s="6">
        <f>VLOOKUP($A6,'角色属性'!$A$2:$I$5,3,0)</f>
        <v/>
      </c>
      <c r="X6" s="6">
        <f>'参数'!$B$6</f>
        <v/>
      </c>
      <c r="Y6" s="6">
        <f>VLOOKUP($A6,'角色属性'!$A$2:$I$5,4,0)+'参数'!$B$24+'参数'!$B$25</f>
        <v/>
      </c>
      <c r="Z6" s="6">
        <f>'参数'!$B$7</f>
        <v/>
      </c>
      <c r="AA6" s="4" t="n">
        <v>2</v>
      </c>
      <c r="AB6" s="6">
        <f>VLOOKUP($A6,'角色属性'!$A$2:$I$5,5,0)+'参数'!$B$22</f>
        <v/>
      </c>
      <c r="AC6" s="6">
        <f>VLOOKUP($A6,'角色属性'!$A$2:$I$5,6,0)+'参数'!$B$23</f>
        <v/>
      </c>
      <c r="AD6" s="4" t="n">
        <v>0</v>
      </c>
      <c r="AE6" s="6">
        <f>'参数'!$B$9</f>
        <v/>
      </c>
      <c r="AF6" s="6">
        <f>'参数'!$B$14</f>
        <v/>
      </c>
      <c r="AG6" s="4" t="n">
        <v>0</v>
      </c>
      <c r="AH6" s="6">
        <f>'参数'!$B$12</f>
        <v/>
      </c>
      <c r="AI6" s="6">
        <f>'参数'!$B$13</f>
        <v/>
      </c>
      <c r="AJ6" s="6">
        <f>MAX(F6*(1+(G6-H6)/100)-I6*(1+(J6-K6)/100)*(1-L6/100),F6*0.1)</f>
        <v/>
      </c>
      <c r="AK6" s="6">
        <f>MAX(1+(T6-U6)/100,0.3)</f>
        <v/>
      </c>
      <c r="AL6" s="6">
        <f>IF(V6=1,MAX(1,(Y6-Z6)/100),1)</f>
        <v/>
      </c>
      <c r="AM6" s="6">
        <f>MAX(1,1+IF(AA6=1,AB6,AC6)/100)</f>
        <v/>
      </c>
      <c r="AN6" s="6">
        <f>1+IF(AD6=1,AE6,0)/100+AF6*'参数'!$B$15/100+AG6/100</f>
        <v/>
      </c>
      <c r="AO6" s="6">
        <f>1+(AH6-AI6)/100</f>
        <v/>
      </c>
      <c r="AP6" s="6">
        <f>IF(C6=0,0,FLOOR(D6/100*AJ6*AK6*AL6*AM6*AN6*AO6,1))</f>
        <v/>
      </c>
    </row>
    <row r="7">
      <c r="A7" s="3" t="inlineStr">
        <is>
          <t>莫莉德尔</t>
        </is>
      </c>
      <c r="B7" s="3" t="inlineStr">
        <is>
          <t>将过往摧毁 1阶</t>
        </is>
      </c>
      <c r="C7" s="4" t="n">
        <v>0</v>
      </c>
      <c r="D7" s="4" t="n">
        <v>100</v>
      </c>
      <c r="E7" s="4" t="n">
        <v>1</v>
      </c>
      <c r="F7" s="6">
        <f>VLOOKUP($A7,'角色属性'!$A$2:$I$5,2,0)</f>
        <v/>
      </c>
      <c r="G7" s="4" t="n">
        <v>0</v>
      </c>
      <c r="H7" s="4" t="n">
        <v>0</v>
      </c>
      <c r="I7" s="6">
        <f>IF($E7=1,'参数'!$B$4,'参数'!$B$5)</f>
        <v/>
      </c>
      <c r="J7" s="4" t="n">
        <v>0</v>
      </c>
      <c r="K7" s="4" t="n">
        <v>0</v>
      </c>
      <c r="L7" s="6">
        <f>VLOOKUP($A7,'角色属性'!$A$2:$I$5,8,0)</f>
        <v/>
      </c>
      <c r="M7" s="6">
        <f>VLOOKUP($A7,'角色属性'!$A$2:$I$5,7,0)</f>
        <v/>
      </c>
      <c r="N7" s="6">
        <f>'参数'!$B$17</f>
        <v/>
      </c>
      <c r="O7" s="6">
        <f>'参数'!$B$18</f>
        <v/>
      </c>
      <c r="P7" s="6">
        <f>'参数'!$B$19</f>
        <v/>
      </c>
      <c r="Q7" s="4" t="n">
        <v>0</v>
      </c>
      <c r="R7" s="4" t="n">
        <v>2</v>
      </c>
      <c r="S7" s="6">
        <f>IF(OR(ISNUMBER(SEARCH("反击",$B7)),$B7="高温回火"),'参数'!$B$20,0)</f>
        <v/>
      </c>
      <c r="T7" s="6">
        <f>M7+N7+O7+P7+Q7*R7+S7</f>
        <v/>
      </c>
      <c r="U7" s="6">
        <f>'参数'!$B$8</f>
        <v/>
      </c>
      <c r="V7" s="4" t="n">
        <v>0</v>
      </c>
      <c r="W7" s="6">
        <f>VLOOKUP($A7,'角色属性'!$A$2:$I$5,3,0)</f>
        <v/>
      </c>
      <c r="X7" s="6">
        <f>'参数'!$B$6</f>
        <v/>
      </c>
      <c r="Y7" s="6">
        <f>VLOOKUP($A7,'角色属性'!$A$2:$I$5,4,0)+'参数'!$B$24+'参数'!$B$25</f>
        <v/>
      </c>
      <c r="Z7" s="6">
        <f>'参数'!$B$7</f>
        <v/>
      </c>
      <c r="AA7" s="4" t="n">
        <v>1</v>
      </c>
      <c r="AB7" s="6">
        <f>VLOOKUP($A7,'角色属性'!$A$2:$I$5,5,0)+'参数'!$B$22</f>
        <v/>
      </c>
      <c r="AC7" s="6">
        <f>VLOOKUP($A7,'角色属性'!$A$2:$I$5,6,0)+'参数'!$B$23</f>
        <v/>
      </c>
      <c r="AD7" s="4" t="n">
        <v>0</v>
      </c>
      <c r="AE7" s="6">
        <f>'参数'!$B$9</f>
        <v/>
      </c>
      <c r="AF7" s="6">
        <f>'参数'!$B$14</f>
        <v/>
      </c>
      <c r="AG7" s="4" t="n">
        <v>0</v>
      </c>
      <c r="AH7" s="6">
        <f>'参数'!$B$12</f>
        <v/>
      </c>
      <c r="AI7" s="6">
        <f>'参数'!$B$13</f>
        <v/>
      </c>
      <c r="AJ7" s="6">
        <f>MAX(F7*(1+(G7-H7)/100)-I7*(1+(J7-K7)/100)*(1-L7/100),F7*0.1)</f>
        <v/>
      </c>
      <c r="AK7" s="6">
        <f>MAX(1+(T7-U7)/100,0.3)</f>
        <v/>
      </c>
      <c r="AL7" s="6">
        <f>IF(V7=1,MAX(1,(Y7-Z7)/100),1)</f>
        <v/>
      </c>
      <c r="AM7" s="6">
        <f>MAX(1,1+IF(AA7=1,AB7,AC7)/100)</f>
        <v/>
      </c>
      <c r="AN7" s="6">
        <f>1+IF(AD7=1,AE7,0)/100+AF7*'参数'!$B$15/100+AG7/100</f>
        <v/>
      </c>
      <c r="AO7" s="6">
        <f>1+(AH7-AI7)/100</f>
        <v/>
      </c>
      <c r="AP7" s="6">
        <f>IF(C7=0,0,FLOOR(D7/100*AJ7*AK7*AL7*AM7*AN7*AO7,1))</f>
        <v/>
      </c>
    </row>
    <row r="8">
      <c r="A8" s="3" t="inlineStr">
        <is>
          <t>莫莉德尔</t>
        </is>
      </c>
      <c r="B8" s="3" t="inlineStr">
        <is>
          <t>将明日弥合</t>
        </is>
      </c>
      <c r="C8" s="4" t="n">
        <v>0</v>
      </c>
      <c r="D8" s="4" t="n">
        <v>0</v>
      </c>
      <c r="E8" s="4" t="n">
        <v>1</v>
      </c>
      <c r="F8" s="6">
        <f>VLOOKUP($A8,'角色属性'!$A$2:$I$5,2,0)</f>
        <v/>
      </c>
      <c r="G8" s="4" t="n">
        <v>0</v>
      </c>
      <c r="H8" s="4" t="n">
        <v>0</v>
      </c>
      <c r="I8" s="6">
        <f>IF($E8=1,'参数'!$B$4,'参数'!$B$5)</f>
        <v/>
      </c>
      <c r="J8" s="4" t="n">
        <v>0</v>
      </c>
      <c r="K8" s="4" t="n">
        <v>0</v>
      </c>
      <c r="L8" s="6">
        <f>VLOOKUP($A8,'角色属性'!$A$2:$I$5,8,0)</f>
        <v/>
      </c>
      <c r="M8" s="6">
        <f>VLOOKUP($A8,'角色属性'!$A$2:$I$5,7,0)</f>
        <v/>
      </c>
      <c r="N8" s="6">
        <f>'参数'!$B$17</f>
        <v/>
      </c>
      <c r="O8" s="6">
        <f>'参数'!$B$18</f>
        <v/>
      </c>
      <c r="P8" s="6">
        <f>'参数'!$B$19</f>
        <v/>
      </c>
      <c r="Q8" s="4" t="n">
        <v>0</v>
      </c>
      <c r="R8" s="4" t="n">
        <v>2</v>
      </c>
      <c r="S8" s="6">
        <f>IF(OR(ISNUMBER(SEARCH("反击",$B8)),$B8="高温回火"),'参数'!$B$20,0)</f>
        <v/>
      </c>
      <c r="T8" s="6">
        <f>M8+N8+O8+P8+Q8*R8+S8</f>
        <v/>
      </c>
      <c r="U8" s="6">
        <f>'参数'!$B$8</f>
        <v/>
      </c>
      <c r="V8" s="4" t="n">
        <v>0</v>
      </c>
      <c r="W8" s="6">
        <f>VLOOKUP($A8,'角色属性'!$A$2:$I$5,3,0)</f>
        <v/>
      </c>
      <c r="X8" s="6">
        <f>'参数'!$B$6</f>
        <v/>
      </c>
      <c r="Y8" s="6">
        <f>VLOOKUP($A8,'角色属性'!$A$2:$I$5,4,0)+'参数'!$B$24+'参数'!$B$25</f>
        <v/>
      </c>
      <c r="Z8" s="6">
        <f>'参数'!$B$7</f>
        <v/>
      </c>
      <c r="AA8" s="4" t="n">
        <v>1</v>
      </c>
      <c r="AB8" s="6">
        <f>VLOOKUP($A8,'角色属性'!$A$2:$I$5,5,0)+'参数'!$B$22</f>
        <v/>
      </c>
      <c r="AC8" s="6">
        <f>VLOOKUP($A8,'角色属性'!$A$2:$I$5,6,0)+'参数'!$B$23</f>
        <v/>
      </c>
      <c r="AD8" s="4" t="n">
        <v>0</v>
      </c>
      <c r="AE8" s="6">
        <f>'参数'!$B$9</f>
        <v/>
      </c>
      <c r="AF8" s="6">
        <f>'参数'!$B$14</f>
        <v/>
      </c>
      <c r="AG8" s="4" t="n">
        <v>0</v>
      </c>
      <c r="AH8" s="6">
        <f>'参数'!$B$12</f>
        <v/>
      </c>
      <c r="AI8" s="6">
        <f>'参数'!$B$13</f>
        <v/>
      </c>
      <c r="AJ8" s="6">
        <f>MAX(F8*(1+(G8-H8)/100)-I8*(1+(J8-K8)/100)*(1-L8/100),F8*0.1)</f>
        <v/>
      </c>
      <c r="AK8" s="6">
        <f>MAX(1+(T8-U8)/100,0.3)</f>
        <v/>
      </c>
      <c r="AL8" s="6">
        <f>IF(V8=1,MAX(1,(Y8-Z8)/100),1)</f>
        <v/>
      </c>
      <c r="AM8" s="6">
        <f>MAX(1,1+IF(AA8=1,AB8,AC8)/100)</f>
        <v/>
      </c>
      <c r="AN8" s="6">
        <f>1+IF(AD8=1,AE8,0)/100+AF8*'参数'!$B$15/100+AG8/100</f>
        <v/>
      </c>
      <c r="AO8" s="6">
        <f>1+(AH8-AI8)/100</f>
        <v/>
      </c>
      <c r="AP8" s="6">
        <f>IF(C8=0,0,FLOOR(D8/100*AJ8*AK8*AL8*AM8*AN8*AO8,1))</f>
        <v/>
      </c>
    </row>
    <row r="9">
      <c r="A9" s="3" t="inlineStr">
        <is>
          <t>莫莉德尔</t>
        </is>
      </c>
      <c r="B9" s="3" t="inlineStr">
        <is>
          <t>不再迷失的归途者(主动)</t>
        </is>
      </c>
      <c r="C9" s="4" t="n">
        <v>0</v>
      </c>
      <c r="D9" s="4" t="n">
        <v>400</v>
      </c>
      <c r="E9" s="4" t="n">
        <v>1</v>
      </c>
      <c r="F9" s="6">
        <f>VLOOKUP($A9,'角色属性'!$A$2:$I$5,2,0)</f>
        <v/>
      </c>
      <c r="G9" s="4" t="n">
        <v>0</v>
      </c>
      <c r="H9" s="4" t="n">
        <v>0</v>
      </c>
      <c r="I9" s="6">
        <f>IF($E9=1,'参数'!$B$4,'参数'!$B$5)</f>
        <v/>
      </c>
      <c r="J9" s="4" t="n">
        <v>0</v>
      </c>
      <c r="K9" s="4" t="n">
        <v>0</v>
      </c>
      <c r="L9" s="6">
        <f>VLOOKUP($A9,'角色属性'!$A$2:$I$5,8,0)</f>
        <v/>
      </c>
      <c r="M9" s="6">
        <f>VLOOKUP($A9,'角色属性'!$A$2:$I$5,7,0)</f>
        <v/>
      </c>
      <c r="N9" s="6">
        <f>'参数'!$B$17</f>
        <v/>
      </c>
      <c r="O9" s="6">
        <f>'参数'!$B$18</f>
        <v/>
      </c>
      <c r="P9" s="6">
        <f>'参数'!$B$19</f>
        <v/>
      </c>
      <c r="Q9" s="4">
        <f>IF($AA9=2,'参数'!$B$32,0)</f>
        <v/>
      </c>
      <c r="R9" s="4" t="n">
        <v>2</v>
      </c>
      <c r="S9" s="6">
        <f>IF(OR(ISNUMBER(SEARCH("反击",$B9)),$B9="高温回火"),'参数'!$B$20,0)</f>
        <v/>
      </c>
      <c r="T9" s="6">
        <f>M9+N9+O9+P9+Q9*R9+S9</f>
        <v/>
      </c>
      <c r="U9" s="6">
        <f>'参数'!$B$8</f>
        <v/>
      </c>
      <c r="V9" s="4" t="n">
        <v>0</v>
      </c>
      <c r="W9" s="6">
        <f>VLOOKUP($A9,'角色属性'!$A$2:$I$5,3,0)</f>
        <v/>
      </c>
      <c r="X9" s="6">
        <f>'参数'!$B$6</f>
        <v/>
      </c>
      <c r="Y9" s="6">
        <f>VLOOKUP($A9,'角色属性'!$A$2:$I$5,4,0)+'参数'!$B$24+'参数'!$B$25</f>
        <v/>
      </c>
      <c r="Z9" s="6">
        <f>'参数'!$B$7</f>
        <v/>
      </c>
      <c r="AA9" s="4" t="n">
        <v>2</v>
      </c>
      <c r="AB9" s="6">
        <f>VLOOKUP($A9,'角色属性'!$A$2:$I$5,5,0)+'参数'!$B$22</f>
        <v/>
      </c>
      <c r="AC9" s="6">
        <f>VLOOKUP($A9,'角色属性'!$A$2:$I$5,6,0)+'参数'!$B$23</f>
        <v/>
      </c>
      <c r="AD9" s="4" t="n">
        <v>0</v>
      </c>
      <c r="AE9" s="6">
        <f>'参数'!$B$9</f>
        <v/>
      </c>
      <c r="AF9" s="6">
        <f>'参数'!$B$14</f>
        <v/>
      </c>
      <c r="AG9" s="4" t="n">
        <v>0</v>
      </c>
      <c r="AH9" s="6">
        <f>'参数'!$B$12</f>
        <v/>
      </c>
      <c r="AI9" s="6">
        <f>'参数'!$B$13</f>
        <v/>
      </c>
      <c r="AJ9" s="6">
        <f>MAX(F9*(1+(G9-H9)/100)-I9*(1+(J9-K9)/100)*(1-L9/100),F9*0.1)</f>
        <v/>
      </c>
      <c r="AK9" s="6">
        <f>MAX(1+(T9-U9)/100,0.3)</f>
        <v/>
      </c>
      <c r="AL9" s="6">
        <f>IF(V9=1,MAX(1,(Y9-Z9)/100),1)</f>
        <v/>
      </c>
      <c r="AM9" s="6">
        <f>MAX(1,1+IF(AA9=1,AB9,AC9)/100)</f>
        <v/>
      </c>
      <c r="AN9" s="6">
        <f>1+IF(AD9=1,AE9,0)/100+AF9*'参数'!$B$15/100+AG9/100</f>
        <v/>
      </c>
      <c r="AO9" s="6">
        <f>1+(AH9-AI9)/100</f>
        <v/>
      </c>
      <c r="AP9" s="6">
        <f>IF(C9=0,0,FLOOR(D9/100*AJ9*AK9*AL9*AM9*AN9*AO9,1))</f>
        <v/>
      </c>
    </row>
    <row r="10">
      <c r="A10" s="3" t="inlineStr">
        <is>
          <t>莫莉德尔</t>
        </is>
      </c>
      <c r="B10" s="3" t="inlineStr">
        <is>
          <t>攻坚反击(仪式)</t>
        </is>
      </c>
      <c r="C10" s="4" t="n">
        <v>0</v>
      </c>
      <c r="D10" s="4" t="n">
        <v>400</v>
      </c>
      <c r="E10" s="4" t="n">
        <v>1</v>
      </c>
      <c r="F10" s="6">
        <f>VLOOKUP($A10,'角色属性'!$A$2:$I$5,2,0)</f>
        <v/>
      </c>
      <c r="G10" s="4" t="n">
        <v>0</v>
      </c>
      <c r="H10" s="4" t="n">
        <v>0</v>
      </c>
      <c r="I10" s="6">
        <f>IF($E10=1,'参数'!$B$4,'参数'!$B$5)</f>
        <v/>
      </c>
      <c r="J10" s="4" t="n">
        <v>0</v>
      </c>
      <c r="K10" s="4" t="n">
        <v>0</v>
      </c>
      <c r="L10" s="6">
        <f>VLOOKUP($A10,'角色属性'!$A$2:$I$5,8,0)</f>
        <v/>
      </c>
      <c r="M10" s="6">
        <f>VLOOKUP($A10,'角色属性'!$A$2:$I$5,7,0)</f>
        <v/>
      </c>
      <c r="N10" s="6">
        <f>'参数'!$B$17</f>
        <v/>
      </c>
      <c r="O10" s="6">
        <f>'参数'!$B$18</f>
        <v/>
      </c>
      <c r="P10" s="6">
        <f>'参数'!$B$19</f>
        <v/>
      </c>
      <c r="Q10" s="4">
        <f>IF($AA10=2,'参数'!$B$32,0)</f>
        <v/>
      </c>
      <c r="R10" s="4" t="n">
        <v>2</v>
      </c>
      <c r="S10" s="6">
        <f>IF(OR(ISNUMBER(SEARCH("反击",$B10)),$B10="高温回火"),'参数'!$B$20,0)</f>
        <v/>
      </c>
      <c r="T10" s="6">
        <f>M10+N10+O10+P10+Q10*R10+S10</f>
        <v/>
      </c>
      <c r="U10" s="6">
        <f>'参数'!$B$8</f>
        <v/>
      </c>
      <c r="V10" s="4" t="n">
        <v>0</v>
      </c>
      <c r="W10" s="6">
        <f>VLOOKUP($A10,'角色属性'!$A$2:$I$5,3,0)</f>
        <v/>
      </c>
      <c r="X10" s="6">
        <f>'参数'!$B$6</f>
        <v/>
      </c>
      <c r="Y10" s="6">
        <f>VLOOKUP($A10,'角色属性'!$A$2:$I$5,4,0)+'参数'!$B$24+'参数'!$B$25</f>
        <v/>
      </c>
      <c r="Z10" s="6">
        <f>'参数'!$B$7</f>
        <v/>
      </c>
      <c r="AA10" s="4" t="n">
        <v>2</v>
      </c>
      <c r="AB10" s="6">
        <f>VLOOKUP($A10,'角色属性'!$A$2:$I$5,5,0)+'参数'!$B$22</f>
        <v/>
      </c>
      <c r="AC10" s="6">
        <f>VLOOKUP($A10,'角色属性'!$A$2:$I$5,6,0)+'参数'!$B$23</f>
        <v/>
      </c>
      <c r="AD10" s="4" t="n">
        <v>0</v>
      </c>
      <c r="AE10" s="6">
        <f>'参数'!$B$9</f>
        <v/>
      </c>
      <c r="AF10" s="6">
        <f>'参数'!$B$14</f>
        <v/>
      </c>
      <c r="AG10" s="4" t="n">
        <v>0</v>
      </c>
      <c r="AH10" s="6">
        <f>'参数'!$B$12</f>
        <v/>
      </c>
      <c r="AI10" s="6">
        <f>'参数'!$B$13</f>
        <v/>
      </c>
      <c r="AJ10" s="6">
        <f>MAX(F10*(1+(G10-H10)/100)-I10*(1+(J10-K10)/100)*(1-L10/100),F10*0.1)</f>
        <v/>
      </c>
      <c r="AK10" s="6">
        <f>MAX(1+(T10-U10)/100,0.3)</f>
        <v/>
      </c>
      <c r="AL10" s="6">
        <f>IF(V10=1,MAX(1,(Y10-Z10)/100),1)</f>
        <v/>
      </c>
      <c r="AM10" s="6">
        <f>MAX(1,1+IF(AA10=1,AB10,AC10)/100)</f>
        <v/>
      </c>
      <c r="AN10" s="6">
        <f>1+IF(AD10=1,AE10,0)/100+AF10*'参数'!$B$15/100+AG10/100</f>
        <v/>
      </c>
      <c r="AO10" s="6">
        <f>1+(AH10-AI10)/100</f>
        <v/>
      </c>
      <c r="AP10" s="6">
        <f>IF(C10=0,0,FLOOR(D10/100*AJ10*AK10*AL10*AM10*AN10*AO10,1))</f>
        <v/>
      </c>
    </row>
    <row r="11">
      <c r="A11" s="3" t="inlineStr">
        <is>
          <t>莫莉德尔</t>
        </is>
      </c>
      <c r="B11" s="3" t="inlineStr">
        <is>
          <t>闪击反击(将过往摧毁)</t>
        </is>
      </c>
      <c r="C11" s="4" t="n">
        <v>0</v>
      </c>
      <c r="D11" s="4" t="n">
        <v>100</v>
      </c>
      <c r="E11" s="4" t="n">
        <v>1</v>
      </c>
      <c r="F11" s="6">
        <f>VLOOKUP($A11,'角色属性'!$A$2:$I$5,2,0)</f>
        <v/>
      </c>
      <c r="G11" s="4" t="n">
        <v>0</v>
      </c>
      <c r="H11" s="4" t="n">
        <v>0</v>
      </c>
      <c r="I11" s="6">
        <f>IF($E11=1,'参数'!$B$4,'参数'!$B$5)</f>
        <v/>
      </c>
      <c r="J11" s="4" t="n">
        <v>0</v>
      </c>
      <c r="K11" s="4" t="n">
        <v>0</v>
      </c>
      <c r="L11" s="6">
        <f>VLOOKUP($A11,'角色属性'!$A$2:$I$5,8,0)</f>
        <v/>
      </c>
      <c r="M11" s="6">
        <f>VLOOKUP($A11,'角色属性'!$A$2:$I$5,7,0)</f>
        <v/>
      </c>
      <c r="N11" s="6">
        <f>'参数'!$B$17</f>
        <v/>
      </c>
      <c r="O11" s="6">
        <f>'参数'!$B$18</f>
        <v/>
      </c>
      <c r="P11" s="6">
        <f>'参数'!$B$19</f>
        <v/>
      </c>
      <c r="Q11" s="4" t="n">
        <v>0</v>
      </c>
      <c r="R11" s="4" t="n">
        <v>2</v>
      </c>
      <c r="S11" s="6">
        <f>IF(OR(ISNUMBER(SEARCH("反击",$B11)),$B11="高温回火"),'参数'!$B$20,0)</f>
        <v/>
      </c>
      <c r="T11" s="6">
        <f>M11+N11+O11+P11+Q11*R11+S11</f>
        <v/>
      </c>
      <c r="U11" s="6">
        <f>'参数'!$B$8</f>
        <v/>
      </c>
      <c r="V11" s="4" t="n">
        <v>0</v>
      </c>
      <c r="W11" s="6">
        <f>VLOOKUP($A11,'角色属性'!$A$2:$I$5,3,0)</f>
        <v/>
      </c>
      <c r="X11" s="6">
        <f>'参数'!$B$6</f>
        <v/>
      </c>
      <c r="Y11" s="6">
        <f>VLOOKUP($A11,'角色属性'!$A$2:$I$5,4,0)+'参数'!$B$24+'参数'!$B$25</f>
        <v/>
      </c>
      <c r="Z11" s="6">
        <f>'参数'!$B$7</f>
        <v/>
      </c>
      <c r="AA11" s="4" t="n">
        <v>1</v>
      </c>
      <c r="AB11" s="6">
        <f>VLOOKUP($A11,'角色属性'!$A$2:$I$5,5,0)+'参数'!$B$22</f>
        <v/>
      </c>
      <c r="AC11" s="6">
        <f>VLOOKUP($A11,'角色属性'!$A$2:$I$5,6,0)+'参数'!$B$23</f>
        <v/>
      </c>
      <c r="AD11" s="4" t="n">
        <v>0</v>
      </c>
      <c r="AE11" s="6">
        <f>'参数'!$B$9</f>
        <v/>
      </c>
      <c r="AF11" s="6">
        <f>'参数'!$B$14</f>
        <v/>
      </c>
      <c r="AG11" s="4" t="n">
        <v>0</v>
      </c>
      <c r="AH11" s="6">
        <f>'参数'!$B$12</f>
        <v/>
      </c>
      <c r="AI11" s="6">
        <f>'参数'!$B$13</f>
        <v/>
      </c>
      <c r="AJ11" s="6">
        <f>MAX(F11*(1+(G11-H11)/100)-I11*(1+(J11-K11)/100)*(1-L11/100),F11*0.1)</f>
        <v/>
      </c>
      <c r="AK11" s="6">
        <f>MAX(1+(T11-U11)/100,0.3)</f>
        <v/>
      </c>
      <c r="AL11" s="6">
        <f>IF(V11=1,MAX(1,(Y11-Z11)/100),1)</f>
        <v/>
      </c>
      <c r="AM11" s="6">
        <f>MAX(1,1+IF(AA11=1,AB11,AC11)/100)</f>
        <v/>
      </c>
      <c r="AN11" s="6">
        <f>1+IF(AD11=1,AE11,0)/100+AF11*'参数'!$B$15/100+AG11/100</f>
        <v/>
      </c>
      <c r="AO11" s="6">
        <f>1+(AH11-AI11)/100</f>
        <v/>
      </c>
      <c r="AP11" s="6">
        <f>IF(C11=0,0,FLOOR(D11/100*AJ11*AK11*AL11*AM11*AN11*AO11,1))</f>
        <v/>
      </c>
    </row>
    <row r="12">
      <c r="A12" s="3" t="inlineStr">
        <is>
          <t>小瑞安侬</t>
        </is>
      </c>
      <c r="B12" s="3" t="inlineStr">
        <is>
          <t>囫囵吞咒 1阶</t>
        </is>
      </c>
      <c r="C12" s="4" t="n">
        <v>0</v>
      </c>
      <c r="D12" s="4" t="n">
        <v>200</v>
      </c>
      <c r="E12" s="4" t="n">
        <v>0</v>
      </c>
      <c r="F12" s="6">
        <f>VLOOKUP($A12,'角色属性'!$A$2:$I$5,2,0)</f>
        <v/>
      </c>
      <c r="G12" s="4" t="n">
        <v>0</v>
      </c>
      <c r="H12" s="4" t="n">
        <v>0</v>
      </c>
      <c r="I12" s="6">
        <f>IF($E12=1,'参数'!$B$4,'参数'!$B$5)</f>
        <v/>
      </c>
      <c r="J12" s="4" t="n">
        <v>0</v>
      </c>
      <c r="K12" s="4" t="n">
        <v>0</v>
      </c>
      <c r="L12" s="6">
        <f>VLOOKUP($A12,'角色属性'!$A$2:$I$5,8,0)</f>
        <v/>
      </c>
      <c r="M12" s="6">
        <f>VLOOKUP($A12,'角色属性'!$A$2:$I$5,7,0)</f>
        <v/>
      </c>
      <c r="N12" s="6">
        <f>'参数'!$B$17</f>
        <v/>
      </c>
      <c r="O12" s="6">
        <f>'参数'!$B$18</f>
        <v/>
      </c>
      <c r="P12" s="6">
        <f>'参数'!$B$19</f>
        <v/>
      </c>
      <c r="Q12" s="4" t="n">
        <v>0</v>
      </c>
      <c r="R12" s="4" t="n">
        <v>2</v>
      </c>
      <c r="S12" s="6">
        <f>IF(OR(ISNUMBER(SEARCH("反击",$B12)),$B12="高温回火"),'参数'!$B$20,0)</f>
        <v/>
      </c>
      <c r="T12" s="6">
        <f>M12+N12+O12+P12+Q12*R12+S12</f>
        <v/>
      </c>
      <c r="U12" s="6">
        <f>'参数'!$B$8</f>
        <v/>
      </c>
      <c r="V12" s="4" t="n">
        <v>0</v>
      </c>
      <c r="W12" s="6">
        <f>VLOOKUP($A12,'角色属性'!$A$2:$I$5,3,0)</f>
        <v/>
      </c>
      <c r="X12" s="6">
        <f>'参数'!$B$6</f>
        <v/>
      </c>
      <c r="Y12" s="6">
        <f>VLOOKUP($A12,'角色属性'!$A$2:$I$5,4,0)+'参数'!$B$24+'参数'!$B$25</f>
        <v/>
      </c>
      <c r="Z12" s="6">
        <f>'参数'!$B$7</f>
        <v/>
      </c>
      <c r="AA12" s="4" t="n">
        <v>1</v>
      </c>
      <c r="AB12" s="6">
        <f>VLOOKUP($A12,'角色属性'!$A$2:$I$5,5,0)+'参数'!$B$22</f>
        <v/>
      </c>
      <c r="AC12" s="6">
        <f>VLOOKUP($A12,'角色属性'!$A$2:$I$5,6,0)+'参数'!$B$23</f>
        <v/>
      </c>
      <c r="AD12" s="4" t="n">
        <v>0</v>
      </c>
      <c r="AE12" s="6">
        <f>'参数'!$B$9</f>
        <v/>
      </c>
      <c r="AF12" s="6">
        <f>'参数'!$B$14</f>
        <v/>
      </c>
      <c r="AG12" s="4" t="n">
        <v>0</v>
      </c>
      <c r="AH12" s="6">
        <f>'参数'!$B$12</f>
        <v/>
      </c>
      <c r="AI12" s="6">
        <f>'参数'!$B$13</f>
        <v/>
      </c>
      <c r="AJ12" s="6">
        <f>MAX(F12*(1+(G12-H12)/100)-I12*(1+(J12-K12)/100)*(1-L12/100),F12*0.1)</f>
        <v/>
      </c>
      <c r="AK12" s="6">
        <f>MAX(1+(T12-U12)/100,0.3)</f>
        <v/>
      </c>
      <c r="AL12" s="6">
        <f>IF(V12=1,MAX(1,(Y12-Z12)/100),1)</f>
        <v/>
      </c>
      <c r="AM12" s="6">
        <f>MAX(1,1+IF(AA12=1,AB12,AC12)/100)</f>
        <v/>
      </c>
      <c r="AN12" s="6">
        <f>1+IF(AD12=1,AE12,0)/100+AF12*'参数'!$B$15/100+AG12/100</f>
        <v/>
      </c>
      <c r="AO12" s="6">
        <f>1+(AH12-AI12)/100</f>
        <v/>
      </c>
      <c r="AP12" s="6">
        <f>IF(C12=0,0,FLOOR(D12/100*AJ12*AK12*AL12*AM12*AN12*AO12,1))</f>
        <v/>
      </c>
    </row>
    <row r="13">
      <c r="A13" s="3" t="inlineStr">
        <is>
          <t>小瑞安侬</t>
        </is>
      </c>
      <c r="B13" s="3" t="inlineStr">
        <is>
          <t>囫囵吞咒·加护 1阶</t>
        </is>
      </c>
      <c r="C13" s="4" t="n">
        <v>0</v>
      </c>
      <c r="D13" s="4" t="n">
        <v>400</v>
      </c>
      <c r="E13" s="4" t="n">
        <v>0</v>
      </c>
      <c r="F13" s="6">
        <f>VLOOKUP($A13,'角色属性'!$A$2:$I$5,2,0)</f>
        <v/>
      </c>
      <c r="G13" s="4" t="n">
        <v>0</v>
      </c>
      <c r="H13" s="4" t="n">
        <v>0</v>
      </c>
      <c r="I13" s="6">
        <f>IF($E13=1,'参数'!$B$4,'参数'!$B$5)</f>
        <v/>
      </c>
      <c r="J13" s="4" t="n">
        <v>0</v>
      </c>
      <c r="K13" s="4" t="n">
        <v>0</v>
      </c>
      <c r="L13" s="6">
        <f>VLOOKUP($A13,'角色属性'!$A$2:$I$5,8,0)</f>
        <v/>
      </c>
      <c r="M13" s="6">
        <f>VLOOKUP($A13,'角色属性'!$A$2:$I$5,7,0)</f>
        <v/>
      </c>
      <c r="N13" s="6">
        <f>'参数'!$B$17</f>
        <v/>
      </c>
      <c r="O13" s="6">
        <f>'参数'!$B$18</f>
        <v/>
      </c>
      <c r="P13" s="6">
        <f>'参数'!$B$19</f>
        <v/>
      </c>
      <c r="Q13" s="4" t="n">
        <v>0</v>
      </c>
      <c r="R13" s="4" t="n">
        <v>2</v>
      </c>
      <c r="S13" s="6">
        <f>IF(OR(ISNUMBER(SEARCH("反击",$B13)),$B13="高温回火"),'参数'!$B$20,0)</f>
        <v/>
      </c>
      <c r="T13" s="6">
        <f>M13+N13+O13+P13+Q13*R13+S13</f>
        <v/>
      </c>
      <c r="U13" s="6">
        <f>'参数'!$B$8</f>
        <v/>
      </c>
      <c r="V13" s="4" t="n">
        <v>0</v>
      </c>
      <c r="W13" s="6">
        <f>VLOOKUP($A13,'角色属性'!$A$2:$I$5,3,0)</f>
        <v/>
      </c>
      <c r="X13" s="6">
        <f>'参数'!$B$6</f>
        <v/>
      </c>
      <c r="Y13" s="6">
        <f>VLOOKUP($A13,'角色属性'!$A$2:$I$5,4,0)+'参数'!$B$24+'参数'!$B$25</f>
        <v/>
      </c>
      <c r="Z13" s="6">
        <f>'参数'!$B$7</f>
        <v/>
      </c>
      <c r="AA13" s="4" t="n">
        <v>1</v>
      </c>
      <c r="AB13" s="6">
        <f>VLOOKUP($A13,'角色属性'!$A$2:$I$5,5,0)+'参数'!$B$22</f>
        <v/>
      </c>
      <c r="AC13" s="6">
        <f>VLOOKUP($A13,'角色属性'!$A$2:$I$5,6,0)+'参数'!$B$23</f>
        <v/>
      </c>
      <c r="AD13" s="4" t="n">
        <v>0</v>
      </c>
      <c r="AE13" s="6">
        <f>'参数'!$B$9</f>
        <v/>
      </c>
      <c r="AF13" s="6">
        <f>'参数'!$B$14</f>
        <v/>
      </c>
      <c r="AG13" s="4" t="n">
        <v>0</v>
      </c>
      <c r="AH13" s="6">
        <f>'参数'!$B$12</f>
        <v/>
      </c>
      <c r="AI13" s="6">
        <f>'参数'!$B$13</f>
        <v/>
      </c>
      <c r="AJ13" s="6">
        <f>MAX(F13*(1+(G13-H13)/100)-I13*(1+(J13-K13)/100)*(1-L13/100),F13*0.1)</f>
        <v/>
      </c>
      <c r="AK13" s="6">
        <f>MAX(1+(T13-U13)/100,0.3)</f>
        <v/>
      </c>
      <c r="AL13" s="6">
        <f>IF(V13=1,MAX(1,(Y13-Z13)/100),1)</f>
        <v/>
      </c>
      <c r="AM13" s="6">
        <f>MAX(1,1+IF(AA13=1,AB13,AC13)/100)</f>
        <v/>
      </c>
      <c r="AN13" s="6">
        <f>1+IF(AD13=1,AE13,0)/100+AF13*'参数'!$B$15/100+AG13/100</f>
        <v/>
      </c>
      <c r="AO13" s="6">
        <f>1+(AH13-AI13)/100</f>
        <v/>
      </c>
      <c r="AP13" s="6">
        <f>IF(C13=0,0,FLOOR(D13/100*AJ13*AK13*AL13*AM13*AN13*AO13,1))</f>
        <v/>
      </c>
    </row>
    <row r="14">
      <c r="A14" s="3" t="inlineStr">
        <is>
          <t>小瑞安侬</t>
        </is>
      </c>
      <c r="B14" s="3" t="inlineStr">
        <is>
          <t>悄冥冥术阵</t>
        </is>
      </c>
      <c r="C14" s="4" t="n">
        <v>0</v>
      </c>
      <c r="D14" s="4" t="n">
        <v>0</v>
      </c>
      <c r="E14" s="4" t="n">
        <v>0</v>
      </c>
      <c r="F14" s="6">
        <f>VLOOKUP($A14,'角色属性'!$A$2:$I$5,2,0)</f>
        <v/>
      </c>
      <c r="G14" s="4" t="n">
        <v>0</v>
      </c>
      <c r="H14" s="4" t="n">
        <v>0</v>
      </c>
      <c r="I14" s="6">
        <f>IF($E14=1,'参数'!$B$4,'参数'!$B$5)</f>
        <v/>
      </c>
      <c r="J14" s="4" t="n">
        <v>0</v>
      </c>
      <c r="K14" s="4" t="n">
        <v>0</v>
      </c>
      <c r="L14" s="6">
        <f>VLOOKUP($A14,'角色属性'!$A$2:$I$5,8,0)</f>
        <v/>
      </c>
      <c r="M14" s="6">
        <f>VLOOKUP($A14,'角色属性'!$A$2:$I$5,7,0)</f>
        <v/>
      </c>
      <c r="N14" s="6">
        <f>'参数'!$B$17</f>
        <v/>
      </c>
      <c r="O14" s="6">
        <f>'参数'!$B$18</f>
        <v/>
      </c>
      <c r="P14" s="6">
        <f>'参数'!$B$19</f>
        <v/>
      </c>
      <c r="Q14" s="4" t="n">
        <v>0</v>
      </c>
      <c r="R14" s="4" t="n">
        <v>2</v>
      </c>
      <c r="S14" s="6">
        <f>IF(OR(ISNUMBER(SEARCH("反击",$B14)),$B14="高温回火"),'参数'!$B$20,0)</f>
        <v/>
      </c>
      <c r="T14" s="6">
        <f>M14+N14+O14+P14+Q14*R14+S14</f>
        <v/>
      </c>
      <c r="U14" s="6">
        <f>'参数'!$B$8</f>
        <v/>
      </c>
      <c r="V14" s="4" t="n">
        <v>0</v>
      </c>
      <c r="W14" s="6">
        <f>VLOOKUP($A14,'角色属性'!$A$2:$I$5,3,0)</f>
        <v/>
      </c>
      <c r="X14" s="6">
        <f>'参数'!$B$6</f>
        <v/>
      </c>
      <c r="Y14" s="6">
        <f>VLOOKUP($A14,'角色属性'!$A$2:$I$5,4,0)+'参数'!$B$24+'参数'!$B$25</f>
        <v/>
      </c>
      <c r="Z14" s="6">
        <f>'参数'!$B$7</f>
        <v/>
      </c>
      <c r="AA14" s="4" t="n">
        <v>1</v>
      </c>
      <c r="AB14" s="6">
        <f>VLOOKUP($A14,'角色属性'!$A$2:$I$5,5,0)+'参数'!$B$22</f>
        <v/>
      </c>
      <c r="AC14" s="6">
        <f>VLOOKUP($A14,'角色属性'!$A$2:$I$5,6,0)+'参数'!$B$23</f>
        <v/>
      </c>
      <c r="AD14" s="4" t="n">
        <v>0</v>
      </c>
      <c r="AE14" s="6">
        <f>'参数'!$B$9</f>
        <v/>
      </c>
      <c r="AF14" s="6">
        <f>'参数'!$B$14</f>
        <v/>
      </c>
      <c r="AG14" s="4" t="n">
        <v>0</v>
      </c>
      <c r="AH14" s="6">
        <f>'参数'!$B$12</f>
        <v/>
      </c>
      <c r="AI14" s="6">
        <f>'参数'!$B$13</f>
        <v/>
      </c>
      <c r="AJ14" s="6">
        <f>MAX(F14*(1+(G14-H14)/100)-I14*(1+(J14-K14)/100)*(1-L14/100),F14*0.1)</f>
        <v/>
      </c>
      <c r="AK14" s="6">
        <f>MAX(1+(T14-U14)/100,0.3)</f>
        <v/>
      </c>
      <c r="AL14" s="6">
        <f>IF(V14=1,MAX(1,(Y14-Z14)/100),1)</f>
        <v/>
      </c>
      <c r="AM14" s="6">
        <f>MAX(1,1+IF(AA14=1,AB14,AC14)/100)</f>
        <v/>
      </c>
      <c r="AN14" s="6">
        <f>1+IF(AD14=1,AE14,0)/100+AF14*'参数'!$B$15/100+AG14/100</f>
        <v/>
      </c>
      <c r="AO14" s="6">
        <f>1+(AH14-AI14)/100</f>
        <v/>
      </c>
      <c r="AP14" s="6">
        <f>IF(C14=0,0,FLOOR(D14/100*AJ14*AK14*AL14*AM14*AN14*AO14,1))</f>
        <v/>
      </c>
    </row>
    <row r="15">
      <c r="A15" s="3" t="inlineStr">
        <is>
          <t>小瑞安侬</t>
        </is>
      </c>
      <c r="B15" s="3" t="inlineStr">
        <is>
          <t>虫虫黑莓唤回术</t>
        </is>
      </c>
      <c r="C15" s="4" t="n">
        <v>0</v>
      </c>
      <c r="D15" s="4" t="n">
        <v>1500</v>
      </c>
      <c r="E15" s="4" t="n">
        <v>0</v>
      </c>
      <c r="F15" s="6">
        <f>VLOOKUP($A15,'角色属性'!$A$2:$I$5,2,0)</f>
        <v/>
      </c>
      <c r="G15" s="4" t="n">
        <v>0</v>
      </c>
      <c r="H15" s="4" t="n">
        <v>0</v>
      </c>
      <c r="I15" s="6">
        <f>IF($E15=1,'参数'!$B$4,'参数'!$B$5)</f>
        <v/>
      </c>
      <c r="J15" s="4" t="n">
        <v>0</v>
      </c>
      <c r="K15" s="4" t="n">
        <v>0</v>
      </c>
      <c r="L15" s="6">
        <f>VLOOKUP($A15,'角色属性'!$A$2:$I$5,8,0)</f>
        <v/>
      </c>
      <c r="M15" s="6">
        <f>VLOOKUP($A15,'角色属性'!$A$2:$I$5,7,0)</f>
        <v/>
      </c>
      <c r="N15" s="6">
        <f>'参数'!$B$17</f>
        <v/>
      </c>
      <c r="O15" s="6">
        <f>'参数'!$B$18</f>
        <v/>
      </c>
      <c r="P15" s="6">
        <f>'参数'!$B$19</f>
        <v/>
      </c>
      <c r="Q15" s="4" t="n">
        <v>0</v>
      </c>
      <c r="R15" s="4" t="n">
        <v>2</v>
      </c>
      <c r="S15" s="6">
        <f>IF(OR(ISNUMBER(SEARCH("反击",$B15)),$B15="高温回火"),'参数'!$B$20,0)</f>
        <v/>
      </c>
      <c r="T15" s="6">
        <f>M15+N15+O15+P15+Q15*R15+S15</f>
        <v/>
      </c>
      <c r="U15" s="6">
        <f>'参数'!$B$8</f>
        <v/>
      </c>
      <c r="V15" s="4" t="n">
        <v>0</v>
      </c>
      <c r="W15" s="6">
        <f>VLOOKUP($A15,'角色属性'!$A$2:$I$5,3,0)</f>
        <v/>
      </c>
      <c r="X15" s="6">
        <f>'参数'!$B$6</f>
        <v/>
      </c>
      <c r="Y15" s="6">
        <f>VLOOKUP($A15,'角色属性'!$A$2:$I$5,4,0)+'参数'!$B$24+'参数'!$B$25</f>
        <v/>
      </c>
      <c r="Z15" s="6">
        <f>'参数'!$B$7</f>
        <v/>
      </c>
      <c r="AA15" s="4" t="n">
        <v>1</v>
      </c>
      <c r="AB15" s="6">
        <f>VLOOKUP($A15,'角色属性'!$A$2:$I$5,5,0)+'参数'!$B$22</f>
        <v/>
      </c>
      <c r="AC15" s="6">
        <f>VLOOKUP($A15,'角色属性'!$A$2:$I$5,6,0)+'参数'!$B$23</f>
        <v/>
      </c>
      <c r="AD15" s="4" t="n">
        <v>0</v>
      </c>
      <c r="AE15" s="6">
        <f>'参数'!$B$9</f>
        <v/>
      </c>
      <c r="AF15" s="6">
        <f>'参数'!$B$14</f>
        <v/>
      </c>
      <c r="AG15" s="4" t="n">
        <v>0</v>
      </c>
      <c r="AH15" s="6">
        <f>'参数'!$B$12</f>
        <v/>
      </c>
      <c r="AI15" s="6">
        <f>'参数'!$B$13</f>
        <v/>
      </c>
      <c r="AJ15" s="6">
        <f>MAX(F15*(1+(G15-H15)/100)-I15*(1+(J15-K15)/100)*(1-L15/100),F15*0.1)</f>
        <v/>
      </c>
      <c r="AK15" s="6">
        <f>MAX(1+(T15-U15)/100,0.3)</f>
        <v/>
      </c>
      <c r="AL15" s="6">
        <f>IF(V15=1,MAX(1,(Y15-Z15)/100),1)</f>
        <v/>
      </c>
      <c r="AM15" s="6">
        <f>MAX(1,1+IF(AA15=1,AB15,AC15)/100)</f>
        <v/>
      </c>
      <c r="AN15" s="6">
        <f>1+IF(AD15=1,AE15,0)/100+AF15*'参数'!$B$15/100+AG15/100</f>
        <v/>
      </c>
      <c r="AO15" s="6">
        <f>1+(AH15-AI15)/100</f>
        <v/>
      </c>
      <c r="AP15" s="6">
        <f>IF(C15=0,0,FLOOR(D15/100*AJ15*AK15*AL15*AM15*AN15*AO15,1))</f>
        <v/>
      </c>
    </row>
    <row r="16">
      <c r="A16" s="3" t="inlineStr">
        <is>
          <t>J</t>
        </is>
      </c>
      <c r="B16" s="3" t="inlineStr">
        <is>
          <t>硬度测试 1阶</t>
        </is>
      </c>
      <c r="C16" s="4" t="n">
        <v>0</v>
      </c>
      <c r="D16" s="4" t="n">
        <v>360</v>
      </c>
      <c r="E16" s="4" t="n">
        <v>1</v>
      </c>
      <c r="F16" s="6">
        <f>VLOOKUP($A16,'角色属性'!$A$2:$I$5,2,0)</f>
        <v/>
      </c>
      <c r="G16" s="4" t="n">
        <v>0</v>
      </c>
      <c r="H16" s="4" t="n">
        <v>0</v>
      </c>
      <c r="I16" s="6">
        <f>IF($E16=1,'参数'!$B$4,'参数'!$B$5)</f>
        <v/>
      </c>
      <c r="J16" s="4" t="n">
        <v>0</v>
      </c>
      <c r="K16" s="4" t="n">
        <v>0</v>
      </c>
      <c r="L16" s="6">
        <f>VLOOKUP($A16,'角色属性'!$A$2:$I$5,8,0)</f>
        <v/>
      </c>
      <c r="M16" s="6">
        <f>VLOOKUP($A16,'角色属性'!$A$2:$I$5,7,0)</f>
        <v/>
      </c>
      <c r="N16" s="6">
        <f>'参数'!$B$17</f>
        <v/>
      </c>
      <c r="O16" s="6">
        <f>'参数'!$B$18</f>
        <v/>
      </c>
      <c r="P16" s="6">
        <f>'参数'!$B$19</f>
        <v/>
      </c>
      <c r="Q16" s="4" t="n">
        <v>0</v>
      </c>
      <c r="R16" s="4" t="n">
        <v>2</v>
      </c>
      <c r="S16" s="6">
        <f>IF(OR(ISNUMBER(SEARCH("反击",$B16)),$B16="高温回火"),'参数'!$B$20,0)</f>
        <v/>
      </c>
      <c r="T16" s="6">
        <f>M16+N16+O16+P16+Q16*R16+S16</f>
        <v/>
      </c>
      <c r="U16" s="6">
        <f>'参数'!$B$8</f>
        <v/>
      </c>
      <c r="V16" s="4" t="n">
        <v>0</v>
      </c>
      <c r="W16" s="6">
        <f>VLOOKUP($A16,'角色属性'!$A$2:$I$5,3,0)</f>
        <v/>
      </c>
      <c r="X16" s="6">
        <f>'参数'!$B$6</f>
        <v/>
      </c>
      <c r="Y16" s="6">
        <f>VLOOKUP($A16,'角色属性'!$A$2:$I$5,4,0)+'参数'!$B$24+'参数'!$B$25</f>
        <v/>
      </c>
      <c r="Z16" s="6">
        <f>'参数'!$B$7</f>
        <v/>
      </c>
      <c r="AA16" s="4" t="n">
        <v>1</v>
      </c>
      <c r="AB16" s="6">
        <f>VLOOKUP($A16,'角色属性'!$A$2:$I$5,5,0)+'参数'!$B$22</f>
        <v/>
      </c>
      <c r="AC16" s="6">
        <f>VLOOKUP($A16,'角色属性'!$A$2:$I$5,6,0)+'参数'!$B$23</f>
        <v/>
      </c>
      <c r="AD16" s="4" t="n">
        <v>0</v>
      </c>
      <c r="AE16" s="6">
        <f>'参数'!$B$9</f>
        <v/>
      </c>
      <c r="AF16" s="6">
        <f>'参数'!$B$14</f>
        <v/>
      </c>
      <c r="AG16" s="4" t="n">
        <v>0</v>
      </c>
      <c r="AH16" s="6">
        <f>'参数'!$B$12</f>
        <v/>
      </c>
      <c r="AI16" s="6">
        <f>'参数'!$B$13</f>
        <v/>
      </c>
      <c r="AJ16" s="6">
        <f>MAX(F16*(1+(G16-H16)/100)-I16*(1+(J16-K16)/100)*(1-L16/100),F16*0.1)</f>
        <v/>
      </c>
      <c r="AK16" s="6">
        <f>MAX(1+(T16-U16)/100,0.3)</f>
        <v/>
      </c>
      <c r="AL16" s="6">
        <f>IF(V16=1,MAX(1,(Y16-Z16)/100),1)</f>
        <v/>
      </c>
      <c r="AM16" s="6">
        <f>MAX(1,1+IF(AA16=1,AB16,AC16)/100)</f>
        <v/>
      </c>
      <c r="AN16" s="6">
        <f>1+IF(AD16=1,AE16,0)/100+AF16*'参数'!$B$15/100+AG16/100</f>
        <v/>
      </c>
      <c r="AO16" s="6">
        <f>1+(AH16-AI16)/100</f>
        <v/>
      </c>
      <c r="AP16" s="6">
        <f>IF(C16=0,0,FLOOR(D16/100*AJ16*AK16*AL16*AM16*AN16*AO16,1))</f>
        <v/>
      </c>
    </row>
    <row r="17">
      <c r="A17" s="3" t="inlineStr">
        <is>
          <t>J</t>
        </is>
      </c>
      <c r="B17" s="3" t="inlineStr">
        <is>
          <t>热处理</t>
        </is>
      </c>
      <c r="C17" s="4" t="n">
        <v>0</v>
      </c>
      <c r="D17" s="4" t="n">
        <v>0</v>
      </c>
      <c r="E17" s="4" t="n">
        <v>1</v>
      </c>
      <c r="F17" s="6">
        <f>VLOOKUP($A17,'角色属性'!$A$2:$I$5,2,0)</f>
        <v/>
      </c>
      <c r="G17" s="4" t="n">
        <v>0</v>
      </c>
      <c r="H17" s="4" t="n">
        <v>0</v>
      </c>
      <c r="I17" s="6">
        <f>IF($E17=1,'参数'!$B$4,'参数'!$B$5)</f>
        <v/>
      </c>
      <c r="J17" s="4" t="n">
        <v>0</v>
      </c>
      <c r="K17" s="4" t="n">
        <v>0</v>
      </c>
      <c r="L17" s="6">
        <f>VLOOKUP($A17,'角色属性'!$A$2:$I$5,8,0)</f>
        <v/>
      </c>
      <c r="M17" s="6">
        <f>VLOOKUP($A17,'角色属性'!$A$2:$I$5,7,0)</f>
        <v/>
      </c>
      <c r="N17" s="6">
        <f>'参数'!$B$17</f>
        <v/>
      </c>
      <c r="O17" s="6">
        <f>'参数'!$B$18</f>
        <v/>
      </c>
      <c r="P17" s="6">
        <f>'参数'!$B$19</f>
        <v/>
      </c>
      <c r="Q17" s="4" t="n">
        <v>0</v>
      </c>
      <c r="R17" s="4" t="n">
        <v>2</v>
      </c>
      <c r="S17" s="6">
        <f>IF(OR(ISNUMBER(SEARCH("反击",$B17)),$B17="高温回火"),'参数'!$B$20,0)</f>
        <v/>
      </c>
      <c r="T17" s="6">
        <f>M17+N17+O17+P17+Q17*R17+S17</f>
        <v/>
      </c>
      <c r="U17" s="6">
        <f>'参数'!$B$8</f>
        <v/>
      </c>
      <c r="V17" s="4" t="n">
        <v>0</v>
      </c>
      <c r="W17" s="6">
        <f>VLOOKUP($A17,'角色属性'!$A$2:$I$5,3,0)</f>
        <v/>
      </c>
      <c r="X17" s="6">
        <f>'参数'!$B$6</f>
        <v/>
      </c>
      <c r="Y17" s="6">
        <f>VLOOKUP($A17,'角色属性'!$A$2:$I$5,4,0)+'参数'!$B$24+'参数'!$B$25</f>
        <v/>
      </c>
      <c r="Z17" s="6">
        <f>'参数'!$B$7</f>
        <v/>
      </c>
      <c r="AA17" s="4" t="n">
        <v>1</v>
      </c>
      <c r="AB17" s="6">
        <f>VLOOKUP($A17,'角色属性'!$A$2:$I$5,5,0)+'参数'!$B$22</f>
        <v/>
      </c>
      <c r="AC17" s="6">
        <f>VLOOKUP($A17,'角色属性'!$A$2:$I$5,6,0)+'参数'!$B$23</f>
        <v/>
      </c>
      <c r="AD17" s="4" t="n">
        <v>0</v>
      </c>
      <c r="AE17" s="6">
        <f>'参数'!$B$9</f>
        <v/>
      </c>
      <c r="AF17" s="6">
        <f>'参数'!$B$14</f>
        <v/>
      </c>
      <c r="AG17" s="4" t="n">
        <v>0</v>
      </c>
      <c r="AH17" s="6">
        <f>'参数'!$B$12</f>
        <v/>
      </c>
      <c r="AI17" s="6">
        <f>'参数'!$B$13</f>
        <v/>
      </c>
      <c r="AJ17" s="6">
        <f>MAX(F17*(1+(G17-H17)/100)-I17*(1+(J17-K17)/100)*(1-L17/100),F17*0.1)</f>
        <v/>
      </c>
      <c r="AK17" s="6">
        <f>MAX(1+(T17-U17)/100,0.3)</f>
        <v/>
      </c>
      <c r="AL17" s="6">
        <f>IF(V17=1,MAX(1,(Y17-Z17)/100),1)</f>
        <v/>
      </c>
      <c r="AM17" s="6">
        <f>MAX(1,1+IF(AA17=1,AB17,AC17)/100)</f>
        <v/>
      </c>
      <c r="AN17" s="6">
        <f>1+IF(AD17=1,AE17,0)/100+AF17*'参数'!$B$15/100+AG17/100</f>
        <v/>
      </c>
      <c r="AO17" s="6">
        <f>1+(AH17-AI17)/100</f>
        <v/>
      </c>
      <c r="AP17" s="6">
        <f>IF(C17=0,0,FLOOR(D17/100*AJ17*AK17*AL17*AM17*AN17*AO17,1))</f>
        <v/>
      </c>
    </row>
    <row r="18">
      <c r="A18" s="3" t="inlineStr">
        <is>
          <t>J</t>
        </is>
      </c>
      <c r="B18" s="3" t="inlineStr">
        <is>
          <t>飞跃海特街！</t>
        </is>
      </c>
      <c r="C18" s="4" t="n">
        <v>0</v>
      </c>
      <c r="D18" s="4" t="n">
        <v>700</v>
      </c>
      <c r="E18" s="4" t="n">
        <v>1</v>
      </c>
      <c r="F18" s="6">
        <f>VLOOKUP($A18,'角色属性'!$A$2:$I$5,2,0)</f>
        <v/>
      </c>
      <c r="G18" s="4" t="n">
        <v>0</v>
      </c>
      <c r="H18" s="4" t="n">
        <v>0</v>
      </c>
      <c r="I18" s="6">
        <f>IF($E18=1,'参数'!$B$4,'参数'!$B$5)</f>
        <v/>
      </c>
      <c r="J18" s="4" t="n">
        <v>0</v>
      </c>
      <c r="K18" s="4" t="n">
        <v>0</v>
      </c>
      <c r="L18" s="6">
        <f>VLOOKUP($A18,'角色属性'!$A$2:$I$5,8,0)</f>
        <v/>
      </c>
      <c r="M18" s="6">
        <f>VLOOKUP($A18,'角色属性'!$A$2:$I$5,7,0)</f>
        <v/>
      </c>
      <c r="N18" s="6">
        <f>'参数'!$B$17</f>
        <v/>
      </c>
      <c r="O18" s="6">
        <f>'参数'!$B$18</f>
        <v/>
      </c>
      <c r="P18" s="6">
        <f>'参数'!$B$19</f>
        <v/>
      </c>
      <c r="Q18" s="4">
        <f>IF($AA18=2,'参数'!$B$32,0)</f>
        <v/>
      </c>
      <c r="R18" s="4" t="n">
        <v>2</v>
      </c>
      <c r="S18" s="6">
        <f>IF(OR(ISNUMBER(SEARCH("反击",$B18)),$B18="高温回火"),'参数'!$B$20,0)</f>
        <v/>
      </c>
      <c r="T18" s="6">
        <f>M18+N18+O18+P18+Q18*R18+S18</f>
        <v/>
      </c>
      <c r="U18" s="6">
        <f>'参数'!$B$8</f>
        <v/>
      </c>
      <c r="V18" s="4" t="n">
        <v>0</v>
      </c>
      <c r="W18" s="6">
        <f>VLOOKUP($A18,'角色属性'!$A$2:$I$5,3,0)</f>
        <v/>
      </c>
      <c r="X18" s="6">
        <f>'参数'!$B$6</f>
        <v/>
      </c>
      <c r="Y18" s="6">
        <f>VLOOKUP($A18,'角色属性'!$A$2:$I$5,4,0)+'参数'!$B$24+'参数'!$B$25</f>
        <v/>
      </c>
      <c r="Z18" s="6">
        <f>'参数'!$B$7</f>
        <v/>
      </c>
      <c r="AA18" s="4" t="n">
        <v>2</v>
      </c>
      <c r="AB18" s="6">
        <f>VLOOKUP($A18,'角色属性'!$A$2:$I$5,5,0)+'参数'!$B$22</f>
        <v/>
      </c>
      <c r="AC18" s="6">
        <f>VLOOKUP($A18,'角色属性'!$A$2:$I$5,6,0)+'参数'!$B$23</f>
        <v/>
      </c>
      <c r="AD18" s="4" t="n">
        <v>0</v>
      </c>
      <c r="AE18" s="6">
        <f>'参数'!$B$9</f>
        <v/>
      </c>
      <c r="AF18" s="6">
        <f>'参数'!$B$14</f>
        <v/>
      </c>
      <c r="AG18" s="4" t="n">
        <v>0</v>
      </c>
      <c r="AH18" s="6">
        <f>'参数'!$B$12</f>
        <v/>
      </c>
      <c r="AI18" s="6">
        <f>'参数'!$B$13</f>
        <v/>
      </c>
      <c r="AJ18" s="6">
        <f>MAX(F18*(1+(G18-H18)/100)-I18*(1+(J18-K18)/100)*(1-L18/100),F18*0.1)</f>
        <v/>
      </c>
      <c r="AK18" s="6">
        <f>MAX(1+(T18-U18)/100,0.3)</f>
        <v/>
      </c>
      <c r="AL18" s="6">
        <f>IF(V18=1,MAX(1,(Y18-Z18)/100),1)</f>
        <v/>
      </c>
      <c r="AM18" s="6">
        <f>MAX(1,1+IF(AA18=1,AB18,AC18)/100)</f>
        <v/>
      </c>
      <c r="AN18" s="6">
        <f>1+IF(AD18=1,AE18,0)/100+AF18*'参数'!$B$15/100+AG18/100</f>
        <v/>
      </c>
      <c r="AO18" s="6">
        <f>1+(AH18-AI18)/100</f>
        <v/>
      </c>
      <c r="AP18" s="6">
        <f>IF(C18=0,0,FLOOR(D18/100*AJ18*AK18*AL18*AM18*AN18*AO18,1))</f>
        <v/>
      </c>
    </row>
    <row r="19">
      <c r="A19" s="3" t="inlineStr">
        <is>
          <t>J</t>
        </is>
      </c>
      <c r="B19" s="3" t="inlineStr">
        <is>
          <t>高温回火</t>
        </is>
      </c>
      <c r="C19" s="4" t="n">
        <v>0</v>
      </c>
      <c r="D19" s="4" t="n">
        <v>300</v>
      </c>
      <c r="E19" s="4" t="n">
        <v>1</v>
      </c>
      <c r="F19" s="6">
        <f>VLOOKUP($A19,'角色属性'!$A$2:$I$5,2,0)</f>
        <v/>
      </c>
      <c r="G19" s="4" t="n">
        <v>0</v>
      </c>
      <c r="H19" s="4" t="n">
        <v>0</v>
      </c>
      <c r="I19" s="6">
        <f>IF($E19=1,'参数'!$B$4,'参数'!$B$5)</f>
        <v/>
      </c>
      <c r="J19" s="4" t="n">
        <v>0</v>
      </c>
      <c r="K19" s="4" t="n">
        <v>0</v>
      </c>
      <c r="L19" s="6">
        <f>VLOOKUP($A19,'角色属性'!$A$2:$I$5,8,0)</f>
        <v/>
      </c>
      <c r="M19" s="6">
        <f>VLOOKUP($A19,'角色属性'!$A$2:$I$5,7,0)</f>
        <v/>
      </c>
      <c r="N19" s="6">
        <f>'参数'!$B$17</f>
        <v/>
      </c>
      <c r="O19" s="6">
        <f>'参数'!$B$18</f>
        <v/>
      </c>
      <c r="P19" s="6">
        <f>'参数'!$B$19</f>
        <v/>
      </c>
      <c r="Q19" s="4" t="n">
        <v>0</v>
      </c>
      <c r="R19" s="4" t="n">
        <v>2</v>
      </c>
      <c r="S19" s="6">
        <f>IF(OR(ISNUMBER(SEARCH("反击",$B19)),$B19="高温回火"),'参数'!$B$20,0)</f>
        <v/>
      </c>
      <c r="T19" s="6">
        <f>M19+N19+O19+P19+Q19*R19+S19</f>
        <v/>
      </c>
      <c r="U19" s="6">
        <f>'参数'!$B$8</f>
        <v/>
      </c>
      <c r="V19" s="4" t="n">
        <v>0</v>
      </c>
      <c r="W19" s="6">
        <f>VLOOKUP($A19,'角色属性'!$A$2:$I$5,3,0)</f>
        <v/>
      </c>
      <c r="X19" s="6">
        <f>'参数'!$B$6</f>
        <v/>
      </c>
      <c r="Y19" s="6">
        <f>VLOOKUP($A19,'角色属性'!$A$2:$I$5,4,0)+'参数'!$B$24+'参数'!$B$25</f>
        <v/>
      </c>
      <c r="Z19" s="6">
        <f>'参数'!$B$7</f>
        <v/>
      </c>
      <c r="AA19" s="4" t="n">
        <v>1</v>
      </c>
      <c r="AB19" s="6">
        <f>VLOOKUP($A19,'角色属性'!$A$2:$I$5,5,0)+'参数'!$B$22</f>
        <v/>
      </c>
      <c r="AC19" s="6">
        <f>VLOOKUP($A19,'角色属性'!$A$2:$I$5,6,0)+'参数'!$B$23</f>
        <v/>
      </c>
      <c r="AD19" s="4" t="n">
        <v>0</v>
      </c>
      <c r="AE19" s="6">
        <f>'参数'!$B$9</f>
        <v/>
      </c>
      <c r="AF19" s="6">
        <f>'参数'!$B$14</f>
        <v/>
      </c>
      <c r="AG19" s="4" t="n">
        <v>0</v>
      </c>
      <c r="AH19" s="6">
        <f>'参数'!$B$12</f>
        <v/>
      </c>
      <c r="AI19" s="6">
        <f>'参数'!$B$13</f>
        <v/>
      </c>
      <c r="AJ19" s="6">
        <f>MAX(F19*(1+(G19-H19)/100)-I19*(1+(J19-K19)/100)*(1-L19/100),F19*0.1)</f>
        <v/>
      </c>
      <c r="AK19" s="6">
        <f>MAX(1+(T19-U19)/100,0.3)</f>
        <v/>
      </c>
      <c r="AL19" s="6">
        <f>IF(V19=1,MAX(1,(Y19-Z19)/100),1)</f>
        <v/>
      </c>
      <c r="AM19" s="6">
        <f>MAX(1,1+IF(AA19=1,AB19,AC19)/100)</f>
        <v/>
      </c>
      <c r="AN19" s="6">
        <f>1+IF(AD19=1,AE19,0)/100+AF19*'参数'!$B$15/100+AG19/100</f>
        <v/>
      </c>
      <c r="AO19" s="6">
        <f>1+(AH19-AI19)/100</f>
        <v/>
      </c>
      <c r="AP19" s="6">
        <f>IF(C19=0,0,FLOOR(D19/100*AJ19*AK19*AL19*AM19*AN19*AO19,1))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6" customWidth="1" min="1" max="1"/>
    <col width="20" customWidth="1" min="2" max="2"/>
  </cols>
  <sheetData>
    <row r="1">
      <c r="A1" s="1" t="inlineStr">
        <is>
          <t>单回合队伍总伤</t>
        </is>
      </c>
      <c r="B1" s="7">
        <f>SUMIF('行动计算'!$C$2:$C$19,1,'行动计算'!$AP$2:$AP$19)</f>
        <v/>
      </c>
    </row>
    <row r="3">
      <c r="A3" s="8" t="inlineStr">
        <is>
          <t>使用说明</t>
        </is>
      </c>
    </row>
    <row r="4">
      <c r="A4" s="9" t="inlineStr">
        <is>
          <t>1. 黄色单元格为输入项；黑色单元格为公式自动计算。</t>
        </is>
      </c>
    </row>
    <row r="5">
      <c r="A5" s="9" t="inlineStr">
        <is>
          <t>2. “生效(1/0)”设为 1 的行动会计入单回合总伤，设为 0 不计入。</t>
        </is>
      </c>
    </row>
    <row r="6">
      <c r="A6" s="9" t="inlineStr">
        <is>
          <t>3. 攻防项 = max(进战攻击×(1+攻击提升-攻击降低) - 进战防御×(1+防御提升-防御降低)×(1-穿透), 进战攻击×10%)</t>
        </is>
      </c>
    </row>
    <row r="7">
      <c r="A7" s="9" t="inlineStr">
        <is>
          <t>4. 创伤项 = max(1 + 我方创伤加成合计 - 敌方受创减免, 0.3)</t>
        </is>
      </c>
    </row>
    <row r="8">
      <c r="A8" s="9" t="inlineStr">
        <is>
          <t>5. 暴创项 = 暴击时 max(1, 暴击创伤-敌方暴击防御)/100，非暴击为 1。</t>
        </is>
      </c>
    </row>
    <row r="9">
      <c r="A9" s="9" t="inlineStr">
        <is>
          <t>6. 威力项 = max(1, 1 + 对应威力/100)；术法行动用术法威力，仪式行动用仪式威力。</t>
        </is>
      </c>
    </row>
    <row r="10">
      <c r="A10" s="9" t="inlineStr">
        <is>
          <t>7. 克制项 = 1 + 是否克制×基础克制系数/100 + 灵犀层数×灵犀每层/100 + 其他克制/100。</t>
        </is>
      </c>
    </row>
    <row r="11">
      <c r="A11" s="9" t="inlineStr">
        <is>
          <t>8. 最终项 = 1 + 最终增伤/100 - 最终免伤/100。</t>
        </is>
      </c>
    </row>
    <row r="12">
      <c r="A12" s="9" t="inlineStr">
        <is>
          <t>9. 伤害 = floor(倍率/100 × 攻防项 × 创伤项 × 暴创项 × 威力项 × 克制项 × 最终项)。</t>
        </is>
      </c>
    </row>
    <row r="13">
      <c r="A13" s="9" t="inlineStr">
        <is>
          <t>10. 战备层数会在仪式行动中自动引用“参数”表的莫莉德尔战备层数；反击创伤% 会自动只对反击类行动生效。</t>
        </is>
      </c>
    </row>
    <row r="14">
      <c r="A14" s="9" t="inlineStr">
        <is>
          <t>11. 暴击创伤% 会自动加上“昨日雨声轻暴击创伤”和“家庭指导员暴击创伤”。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2026-08-06T07:12:45Z</dcterms:created>
  <dcterms:modified xmlns:dcterms="http://purl.org/dc/terms/" xmlns:xsi="http://www.w3.org/2001/XMLSchema-instance" xsi:type="dcterms:W3CDTF">2026-08-06T07:30:48Z</dcterms:modified>
</cp:coreProperties>
</file>